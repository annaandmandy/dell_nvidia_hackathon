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2cf91efe2445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abf064f9b7459b"/>
    <x:sheet xmlns:r="http://schemas.openxmlformats.org/officeDocument/2006/relationships" name="Valuation" sheetId="2" r:id="R844c5705ec2b4370"/>
    <x:sheet xmlns:r="http://schemas.openxmlformats.org/officeDocument/2006/relationships" name="Commercial" sheetId="3" r:id="Re67485c2633b46df"/>
    <x:sheet xmlns:r="http://schemas.openxmlformats.org/officeDocument/2006/relationships" name="IP_Legal" sheetId="4" r:id="Rc6b91352e33c44d2"/>
    <x:sheet xmlns:r="http://schemas.openxmlformats.org/officeDocument/2006/relationships" name="Buyer_Reliability" sheetId="5" r:id="Re00befa7952e46c1"/>
    <x:sheet xmlns:r="http://schemas.openxmlformats.org/officeDocument/2006/relationships" name="Inputs" sheetId="6" r:id="R36e600513e5441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$0.0"/>
    <x:numFmt numFmtId="201" formatCode="0.0%"/>
    <x:numFmt numFmtId="202" formatCode="$0.0;($0.0);-"/>
    <x:numFmt numFmtId="203" formatCode="0.0x"/>
    <x:numFmt numFmtId="204" formatCode="0.0"/>
    <x:numFmt numFmtId="205" formatCode="0.00x"/>
    <x:numFmt numFmtId="206" formatCode="0.000"/>
    <x:numFmt numFmtId="207" formatCode="0%"/>
    <x:numFmt numFmtId="208" formatCode="0"/>
  </x:numFmts>
  <x:fonts count="14">
    <x:font>
      <x:sz val="11"/>
      <x:name val="Carlito"/>
    </x:font>
    <x:font>
      <x:sz val="10"/>
      <x:color rgb="FF222222"/>
      <x:name val="Arial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9"/>
      <x:color rgb="FF17365D"/>
      <x:name val="Arial"/>
    </x:font>
    <x:font>
      <x:i/>
      <x:sz val="9"/>
      <x:color rgb="FF666666"/>
      <x:name val="Arial"/>
    </x:font>
    <x:font>
      <x:sz val="10"/>
      <x:color rgb="FF008000"/>
      <x:name val="Arial"/>
    </x:font>
    <x:font>
      <x:b/>
      <x:sz val="10"/>
      <x:color rgb="FF17365D"/>
      <x:name val="Arial"/>
    </x:font>
    <x:font>
      <x:b/>
      <x:sz val="10"/>
      <x:color rgb="FF222222"/>
      <x:name val="Arial"/>
    </x:font>
    <x:font>
      <x:b/>
      <x:sz val="9"/>
      <x:color rgb="FF666666"/>
      <x:name val="Arial"/>
    </x:font>
    <x:font>
      <x:b/>
      <x:sz val="13"/>
      <x:color rgb="FF17365D"/>
      <x:name val="Arial"/>
    </x:font>
    <x:font>
      <x:b/>
      <x:sz val="10"/>
      <x:color rgb="FFC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7">
    <x:border>
      <x:left/>
      <x:right/>
      <x:top/>
      <x:bottom/>
      <x:diagonal/>
    </x:border>
    <x:border>
      <x:left/>
      <x:right/>
      <x:top/>
      <x:bottom style="thin">
        <x:color rgb="FF17365D"/>
      </x:bottom>
      <x:diagonal/>
    </x:border>
    <x:border>
      <x:left style="thin">
        <x:color rgb="FF17365D"/>
      </x:left>
      <x:right/>
      <x:top style="thin">
        <x:color rgb="FF17365D"/>
      </x:top>
      <x:bottom style="thin">
        <x:color rgb="FF17365D"/>
      </x:bottom>
      <x:diagonal/>
    </x:border>
    <x:border>
      <x:left/>
      <x:right/>
      <x:top style="thin">
        <x:color rgb="FF17365D"/>
      </x:top>
      <x:bottom style="thin">
        <x:color rgb="FF17365D"/>
      </x:bottom>
      <x:diagonal/>
    </x:border>
    <x:border>
      <x:left/>
      <x:right style="thin">
        <x:color rgb="FF17365D"/>
      </x:right>
      <x:top style="thin">
        <x:color rgb="FF17365D"/>
      </x:top>
      <x:bottom style="thin">
        <x:color rgb="FF17365D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B4C6E7"/>
      </x:bottom>
      <x:diagonal/>
    </x:border>
    <x:border>
      <x:left style="thin">
        <x:color rgb="FFFFFFFF"/>
      </x:left>
      <x:right/>
      <x:top style="thin">
        <x:color rgb="FFD9E2F3"/>
      </x:top>
      <x:bottom style="thin">
        <x:color rgb="FFB4C6E7"/>
      </x:bottom>
      <x:diagonal/>
    </x:border>
    <x:border>
      <x:left/>
      <x:right/>
      <x:top style="double">
        <x:color rgb="FF17365D"/>
      </x:top>
      <x:bottom style="thin">
        <x:color rgb="FFB4C6E7"/>
      </x:bottom>
      <x:diagonal/>
    </x:border>
    <x:border>
      <x:left style="thin">
        <x:color rgb="FFB4C6E7"/>
      </x:left>
      <x:right/>
      <x:top style="thin">
        <x:color rgb="FFB4C6E7"/>
      </x:top>
      <x:bottom/>
      <x:diagonal/>
    </x:border>
    <x:border>
      <x:left/>
      <x:right/>
      <x:top style="thin">
        <x:color rgb="FFB4C6E7"/>
      </x:top>
      <x:bottom/>
      <x:diagonal/>
    </x:border>
    <x:border>
      <x:left/>
      <x:right style="thin">
        <x:color rgb="FFB4C6E7"/>
      </x:right>
      <x:top style="thin">
        <x:color rgb="FFB4C6E7"/>
      </x:top>
      <x:bottom/>
      <x:diagonal/>
    </x:border>
    <x:border>
      <x:left style="thin">
        <x:color rgb="FFB4C6E7"/>
      </x:left>
      <x:right/>
      <x:top/>
      <x:bottom/>
      <x:diagonal/>
    </x:border>
    <x:border>
      <x:left/>
      <x:right style="thin">
        <x:color rgb="FFB4C6E7"/>
      </x:right>
      <x:top/>
      <x:bottom/>
      <x:diagonal/>
    </x:border>
    <x:border>
      <x:left style="thin">
        <x:color rgb="FFB4C6E7"/>
      </x:left>
      <x:right/>
      <x:top/>
      <x:bottom style="thin">
        <x:color rgb="FFB4C6E7"/>
      </x:bottom>
      <x:diagonal/>
    </x:border>
    <x:border>
      <x:left/>
      <x:right/>
      <x:top/>
      <x:bottom style="thin">
        <x:color rgb="FFB4C6E7"/>
      </x:bottom>
      <x:diagonal/>
    </x:border>
    <x:border>
      <x:left/>
      <x:right style="thin">
        <x:color rgb="FFB4C6E7"/>
      </x:right>
      <x:top/>
      <x:bottom style="thin">
        <x:color rgb="FFB4C6E7"/>
      </x:bottom>
      <x:diagonal/>
    </x:border>
    <x:border>
      <x:left/>
      <x:right style="thin">
        <x:color rgb="FFFFFFFF"/>
      </x:right>
      <x:top/>
      <x:bottom style="thin">
        <x:color rgb="FFD9E2F3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9E2F3"/>
      </x:bottom>
      <x:diagonal/>
    </x:border>
    <x:border>
      <x:left style="thin">
        <x:color rgb="FFFFFFFF"/>
      </x:left>
      <x:right/>
      <x:top/>
      <x:bottom style="thin">
        <x:color rgb="FFD9E2F3"/>
      </x:bottom>
      <x:diagonal/>
    </x:border>
    <x:border>
      <x:left style="thin">
        <x:color rgb="FFC00000"/>
      </x:left>
      <x:right/>
      <x:top style="thin">
        <x:color rgb="FFC00000"/>
      </x:top>
      <x:bottom style="thin">
        <x:color rgb="FFC00000"/>
      </x:bottom>
      <x:diagonal/>
    </x:border>
    <x:border>
      <x:left/>
      <x:right/>
      <x:top style="thin">
        <x:color rgb="FFC00000"/>
      </x:top>
      <x:bottom style="thin">
        <x:color rgb="FFC00000"/>
      </x:bottom>
      <x:diagonal/>
    </x:border>
    <x:border>
      <x:left/>
      <x:right style="thin">
        <x:color rgb="FFC00000"/>
      </x:right>
      <x:top style="thin">
        <x:color rgb="FFC00000"/>
      </x:top>
      <x:bottom style="thin">
        <x:color rgb="FFC00000"/>
      </x:bottom>
      <x:diagonal/>
    </x:border>
  </x:borders>
  <x:cellStyleXfs count="1">
    <x:xf numFmtId="0" fontId="0" fillId="0" borderId="0"/>
  </x:cellStyleXfs>
  <x:cellXfs count="1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0" fontId="5" fillId="0" borderId="9" xfId="0" applyNumberFormat="1" applyFont="1" applyFill="1" applyBorder="1" applyAlignment="1">
      <x:alignment vertical="center"/>
    </x:xf>
    <x:xf numFmtId="200" fontId="5" fillId="0" borderId="10" xfId="0" applyNumberFormat="1" applyFont="1" applyFill="1" applyBorder="1" applyAlignment="1">
      <x:alignment vertical="center"/>
    </x:xf>
    <x:xf numFmtId="201" fontId="5" fillId="0" borderId="8" xfId="0" applyNumberFormat="1" applyFont="1" applyFill="1" applyBorder="1" applyAlignment="1">
      <x:alignment vertical="center"/>
    </x:xf>
    <x:xf numFmtId="201" fontId="5" fillId="0" borderId="9" xfId="0" applyNumberFormat="1" applyFont="1" applyFill="1" applyBorder="1" applyAlignment="1">
      <x:alignment vertical="center"/>
    </x:xf>
    <x:xf numFmtId="201" fontId="5" fillId="0" borderId="10" xfId="0" applyNumberFormat="1" applyFont="1" applyFill="1" applyBorder="1" applyAlignment="1">
      <x:alignment vertical="center"/>
    </x:xf>
    <x:xf numFmtId="202" fontId="5" fillId="0" borderId="8" xfId="0" applyNumberFormat="1" applyFont="1" applyFill="1" applyBorder="1" applyAlignment="1">
      <x:alignment vertical="center"/>
    </x:xf>
    <x:xf numFmtId="202" fontId="5" fillId="0" borderId="9" xfId="0" applyNumberFormat="1" applyFont="1" applyFill="1" applyBorder="1" applyAlignment="1">
      <x:alignment vertical="center"/>
    </x:xf>
    <x:xf numFmtId="202" fontId="5" fillId="0" borderId="10" xfId="0" applyNumberFormat="1" applyFont="1" applyFill="1" applyBorder="1" applyAlignment="1">
      <x:alignment vertical="center"/>
    </x:xf>
    <x:xf numFmtId="0" fontId="5" fillId="4" borderId="8" xfId="0" applyNumberFormat="1" applyFont="1" applyFill="1" applyBorder="1" applyAlignment="1">
      <x:alignment vertical="center"/>
    </x:xf>
    <x:xf numFmtId="0" fontId="5" fillId="4" borderId="9" xfId="0" applyNumberFormat="1" applyFont="1" applyFill="1" applyBorder="1" applyAlignment="1">
      <x:alignment vertical="center"/>
    </x:xf>
    <x:xf numFmtId="0" fontId="5" fillId="4" borderId="10" xfId="0" applyNumberFormat="1" applyFont="1" applyFill="1" applyBorder="1" applyAlignment="1">
      <x:alignment vertical="center"/>
    </x:xf>
    <x:xf numFmtId="203" fontId="5" fillId="4" borderId="8" xfId="0" applyNumberFormat="1" applyFont="1" applyFill="1" applyBorder="1" applyAlignment="1">
      <x:alignment vertical="center"/>
    </x:xf>
    <x:xf numFmtId="203" fontId="5" fillId="4" borderId="9" xfId="0" applyNumberFormat="1" applyFont="1" applyFill="1" applyBorder="1" applyAlignment="1">
      <x:alignment vertical="center"/>
    </x:xf>
    <x:xf numFmtId="201" fontId="5" fillId="4" borderId="9" xfId="0" applyNumberFormat="1" applyFont="1" applyFill="1" applyBorder="1" applyAlignment="1">
      <x:alignment vertical="center"/>
    </x:xf>
    <x:xf numFmtId="200" fontId="5" fillId="4" borderId="8" xfId="0" applyNumberFormat="1" applyFont="1" applyFill="1" applyBorder="1" applyAlignment="1">
      <x:alignment vertical="center"/>
    </x:xf>
    <x:xf numFmtId="200" fontId="5" fillId="4" borderId="9" xfId="0" applyNumberFormat="1" applyFont="1" applyFill="1" applyBorder="1" applyAlignment="1">
      <x:alignment vertical="center"/>
    </x:xf>
    <x:xf numFmtId="200" fontId="5" fillId="4" borderId="10" xfId="0" applyNumberFormat="1" applyFont="1" applyFill="1" applyBorder="1" applyAlignment="1">
      <x:alignment vertical="center"/>
    </x:xf>
    <x:xf numFmtId="201" fontId="5" fillId="4" borderId="8" xfId="0" applyNumberFormat="1" applyFont="1" applyFill="1" applyBorder="1" applyAlignment="1">
      <x:alignment vertical="center"/>
    </x:xf>
    <x:xf numFmtId="204" fontId="5" fillId="4" borderId="9" xfId="0" applyNumberFormat="1" applyFont="1" applyFill="1" applyBorder="1" applyAlignment="1">
      <x:alignment vertical="center"/>
    </x:xf>
    <x:xf numFmtId="204" fontId="5" fillId="4" borderId="10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vertical="center"/>
    </x:xf>
    <x:xf numFmtId="200" fontId="5" fillId="2" borderId="9" xfId="0" applyNumberFormat="1" applyFont="1" applyFill="1" applyBorder="1" applyAlignment="1">
      <x:alignment vertical="center"/>
    </x:xf>
    <x:xf numFmtId="0" fontId="4" fillId="2" borderId="9" xfId="0" applyNumberFormat="1" applyFont="1" applyFill="1" applyBorder="1" applyAlignment="1">
      <x:alignment vertical="center"/>
    </x:xf>
    <x:xf numFmtId="200" fontId="4" fillId="2" borderId="9" xfId="0" applyNumberFormat="1" applyFont="1" applyFill="1" applyBorder="1" applyAlignment="1">
      <x:alignment vertical="center"/>
    </x:xf>
    <x:xf numFmtId="200" fontId="4" fillId="2" borderId="3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4" fillId="3" borderId="10" xfId="0" applyNumberFormat="1" applyFont="1" applyFill="1" applyBorder="1" applyAlignment="1">
      <x:alignment vertical="center"/>
    </x:xf>
    <x:xf numFmtId="0" fontId="4" fillId="3" borderId="11" xfId="0" applyNumberFormat="1" applyFont="1" applyFill="1" applyBorder="1" applyAlignment="1">
      <x:alignment vertical="center"/>
    </x:xf>
    <x:xf numFmtId="0" fontId="4" fillId="3" borderId="11" xfId="0" applyNumberFormat="1" applyFont="1" applyFill="1" applyBorder="1" applyAlignment="1">
      <x:alignment horizontal="center" vertical="center"/>
    </x:xf>
    <x:xf numFmtId="0" fontId="1" fillId="2" borderId="10" xfId="0" applyNumberFormat="1" applyFont="1" applyFill="1" applyBorder="1" applyAlignment="1">
      <x:alignment vertical="center"/>
    </x:xf>
    <x:xf numFmtId="200" fontId="5" fillId="2" borderId="10" xfId="0" applyNumberFormat="1" applyFont="1" applyFill="1" applyBorder="1" applyAlignment="1">
      <x:alignment vertical="center"/>
    </x:xf>
    <x:xf numFmtId="0" fontId="4" fillId="2" borderId="10" xfId="0" applyNumberFormat="1" applyFont="1" applyFill="1" applyBorder="1" applyAlignment="1">
      <x:alignment vertical="center"/>
    </x:xf>
    <x:xf numFmtId="200" fontId="4" fillId="2" borderId="10" xfId="0" applyNumberFormat="1" applyFont="1" applyFill="1" applyBorder="1" applyAlignment="1">
      <x:alignment vertical="center"/>
    </x:xf>
    <x:xf numFmtId="200" fontId="4" fillId="2" borderId="4" xfId="0" applyNumberFormat="1" applyFont="1" applyFill="1" applyBorder="1" applyAlignment="1">
      <x:alignment vertical="center"/>
    </x:xf>
    <x:xf numFmtId="205" fontId="5" fillId="4" borderId="9" xfId="0" applyNumberFormat="1" applyFont="1" applyFill="1" applyBorder="1" applyAlignment="1">
      <x:alignment vertical="center"/>
    </x:xf>
    <x:xf numFmtId="205" fontId="5" fillId="4" borderId="1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vertical="center"/>
    </x:xf>
    <x:xf numFmtId="0" fontId="8" fillId="0" borderId="9" xfId="0" applyNumberFormat="1" applyFont="1" applyFill="1" applyBorder="1" applyAlignment="1">
      <x:alignment vertical="center"/>
    </x:xf>
    <x:xf numFmtId="0" fontId="8" fillId="0" borderId="10" xfId="0" applyNumberFormat="1" applyFont="1" applyFill="1" applyBorder="1" applyAlignment="1">
      <x:alignment vertical="center"/>
    </x:xf>
    <x:xf numFmtId="200" fontId="8" fillId="0" borderId="8" xfId="0" applyNumberFormat="1" applyFont="1" applyFill="1" applyBorder="1" applyAlignment="1">
      <x:alignment vertical="center"/>
    </x:xf>
    <x:xf numFmtId="201" fontId="8" fillId="0" borderId="9" xfId="0" applyNumberFormat="1" applyFont="1" applyFill="1" applyBorder="1" applyAlignment="1">
      <x:alignment vertical="center"/>
    </x:xf>
    <x:xf numFmtId="204" fontId="8" fillId="0" borderId="9" xfId="0" applyNumberFormat="1" applyFont="1" applyFill="1" applyBorder="1" applyAlignment="1">
      <x:alignment vertical="center"/>
    </x:xf>
    <x:xf numFmtId="200" fontId="8" fillId="0" borderId="9" xfId="0" applyNumberFormat="1" applyFont="1" applyFill="1" applyBorder="1" applyAlignment="1">
      <x:alignment vertical="center"/>
    </x:xf>
    <x:xf numFmtId="202" fontId="8" fillId="0" borderId="8" xfId="0" applyNumberFormat="1" applyFont="1" applyFill="1" applyBorder="1" applyAlignment="1">
      <x:alignment vertical="center"/>
    </x:xf>
    <x:xf numFmtId="202" fontId="8" fillId="0" borderId="9" xfId="0" applyNumberFormat="1" applyFont="1" applyFill="1" applyBorder="1" applyAlignment="1">
      <x:alignment vertical="center"/>
    </x:xf>
    <x:xf numFmtId="202" fontId="8" fillId="0" borderId="1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8" fillId="0" borderId="8" xfId="0" applyNumberFormat="1" applyFont="1" applyFill="1" applyBorder="1" applyAlignment="1">
      <x:alignment vertical="center"/>
    </x:xf>
    <x:xf numFmtId="203" fontId="8" fillId="0" borderId="9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  <x:xf numFmtId="0" fontId="1" fillId="4" borderId="10" xfId="0" applyNumberFormat="1" applyFont="1" applyFill="1" applyBorder="1" applyAlignment="1">
      <x:alignment vertical="center"/>
    </x:xf>
    <x:xf numFmtId="200" fontId="1" fillId="4" borderId="10" xfId="0" applyNumberFormat="1" applyFont="1" applyFill="1" applyBorder="1" applyAlignment="1">
      <x:alignment vertical="center"/>
    </x:xf>
    <x:xf numFmtId="0" fontId="10" fillId="4" borderId="10" xfId="0" applyNumberFormat="1" applyFont="1" applyFill="1" applyBorder="1" applyAlignment="1">
      <x:alignment vertical="center"/>
    </x:xf>
    <x:xf numFmtId="200" fontId="10" fillId="4" borderId="10" xfId="0" applyNumberFormat="1" applyFont="1" applyFill="1" applyBorder="1" applyAlignment="1">
      <x:alignment vertical="center"/>
    </x:xf>
    <x:xf numFmtId="202" fontId="1" fillId="0" borderId="9" xfId="0" applyNumberFormat="1" applyFont="1" applyFill="1" applyBorder="1" applyAlignment="1">
      <x:alignment vertical="center"/>
    </x:xf>
    <x:xf numFmtId="206" fontId="1" fillId="0" borderId="8" xfId="0" applyNumberFormat="1" applyFont="1" applyFill="1" applyBorder="1" applyAlignment="1">
      <x:alignment vertical="center"/>
    </x:xf>
    <x:xf numFmtId="206" fontId="1" fillId="0" borderId="9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202" fontId="1" fillId="0" borderId="10" xfId="0" applyNumberFormat="1" applyFont="1" applyFill="1" applyBorder="1" applyAlignment="1">
      <x:alignment vertical="center"/>
    </x:xf>
    <x:xf numFmtId="0" fontId="10" fillId="0" borderId="10" xfId="0" applyNumberFormat="1" applyFont="1" applyFill="1" applyBorder="1" applyAlignment="1">
      <x:alignment vertical="center"/>
    </x:xf>
    <x:xf numFmtId="202" fontId="10" fillId="0" borderId="10" xfId="0" applyNumberFormat="1" applyFont="1" applyFill="1" applyBorder="1" applyAlignment="1">
      <x:alignment vertical="center"/>
    </x:xf>
    <x:xf numFmtId="0" fontId="10" fillId="0" borderId="12" xfId="0" applyNumberFormat="1" applyFont="1" applyFill="1" applyBorder="1" applyAlignment="1">
      <x:alignment vertical="center"/>
    </x:xf>
    <x:xf numFmtId="202" fontId="10" fillId="0" borderId="12" xfId="0" applyNumberFormat="1" applyFont="1" applyFill="1" applyBorder="1" applyAlignment="1">
      <x:alignment vertical="center"/>
    </x:xf>
    <x:xf numFmtId="207" fontId="8" fillId="0" borderId="8" xfId="0" applyNumberFormat="1" applyFont="1" applyFill="1" applyBorder="1" applyAlignment="1">
      <x:alignment vertical="center"/>
    </x:xf>
    <x:xf numFmtId="207" fontId="8" fillId="0" borderId="9" xfId="0" applyNumberFormat="1" applyFont="1" applyFill="1" applyBorder="1" applyAlignment="1">
      <x:alignment vertical="center"/>
    </x:xf>
    <x:xf numFmtId="202" fontId="1" fillId="4" borderId="10" xfId="0" applyNumberFormat="1" applyFont="1" applyFill="1" applyBorder="1" applyAlignment="1">
      <x:alignment vertical="center"/>
    </x:xf>
    <x:xf numFmtId="202" fontId="10" fillId="4" borderId="10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200" fontId="1" fillId="4" borderId="9" xfId="0" applyNumberFormat="1" applyFont="1" applyFill="1" applyBorder="1" applyAlignment="1">
      <x:alignment vertical="center"/>
    </x:xf>
    <x:xf numFmtId="0" fontId="10" fillId="4" borderId="9" xfId="0" applyNumberFormat="1" applyFont="1" applyFill="1" applyBorder="1" applyAlignment="1">
      <x:alignment vertical="center"/>
    </x:xf>
    <x:xf numFmtId="200" fontId="10" fillId="4" borderId="9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205" fontId="8" fillId="0" borderId="9" xfId="0" applyNumberFormat="1" applyFont="1" applyFill="1" applyBorder="1" applyAlignment="1">
      <x:alignment vertical="center"/>
    </x:xf>
    <x:xf numFmtId="200" fontId="8" fillId="0" borderId="10" xfId="0" applyNumberFormat="1" applyFont="1" applyFill="1" applyBorder="1" applyAlignment="1">
      <x:alignment vertical="center"/>
    </x:xf>
    <x:xf numFmtId="205" fontId="1" fillId="0" borderId="9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0" fontId="1" fillId="5" borderId="13" xfId="0" applyNumberFormat="1" applyFont="1" applyFill="1" applyBorder="1" applyAlignment="1">
      <x:alignment vertical="center"/>
    </x:xf>
    <x:xf numFmtId="0" fontId="1" fillId="5" borderId="14" xfId="0" applyNumberFormat="1" applyFont="1" applyFill="1" applyBorder="1" applyAlignment="1">
      <x:alignment vertical="center"/>
    </x:xf>
    <x:xf numFmtId="0" fontId="1" fillId="5" borderId="15" xfId="0" applyNumberFormat="1" applyFont="1" applyFill="1" applyBorder="1" applyAlignment="1">
      <x:alignment vertical="center"/>
    </x:xf>
    <x:xf numFmtId="0" fontId="11" fillId="5" borderId="16" xfId="0" applyNumberFormat="1" applyFont="1" applyFill="1" applyBorder="1" applyAlignment="1">
      <x:alignment vertical="center"/>
    </x:xf>
    <x:xf numFmtId="0" fontId="11" fillId="5" borderId="17" xfId="0" applyNumberFormat="1" applyFont="1" applyFill="1" applyBorder="1" applyAlignment="1">
      <x:alignment vertical="center"/>
    </x:xf>
    <x:xf numFmtId="0" fontId="1" fillId="5" borderId="18" xfId="0" applyNumberFormat="1" applyFont="1" applyFill="1" applyBorder="1" applyAlignment="1">
      <x:alignment vertical="center"/>
    </x:xf>
    <x:xf numFmtId="0" fontId="1" fillId="5" borderId="19" xfId="0" applyNumberFormat="1" applyFont="1" applyFill="1" applyBorder="1" applyAlignment="1">
      <x:alignment vertical="center"/>
    </x:xf>
    <x:xf numFmtId="0" fontId="1" fillId="5" borderId="20" xfId="0" applyNumberFormat="1" applyFont="1" applyFill="1" applyBorder="1" applyAlignment="1">
      <x:alignment vertical="center"/>
    </x:xf>
    <x:xf numFmtId="0" fontId="12" fillId="5" borderId="13" xfId="0" applyNumberFormat="1" applyFont="1" applyFill="1" applyBorder="1" applyAlignment="1">
      <x:alignment vertical="center"/>
    </x:xf>
    <x:xf numFmtId="0" fontId="12" fillId="5" borderId="14" xfId="0" applyNumberFormat="1" applyFont="1" applyFill="1" applyBorder="1" applyAlignment="1">
      <x:alignment vertical="center"/>
    </x:xf>
    <x:xf numFmtId="0" fontId="12" fillId="5" borderId="15" xfId="0" applyNumberFormat="1" applyFont="1" applyFill="1" applyBorder="1" applyAlignment="1">
      <x:alignment vertical="center"/>
    </x:xf>
    <x:xf numFmtId="0" fontId="12" fillId="5" borderId="16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vertical="center"/>
    </x:xf>
    <x:xf numFmtId="0" fontId="12" fillId="5" borderId="17" xfId="0" applyNumberFormat="1" applyFont="1" applyFill="1" applyBorder="1" applyAlignment="1">
      <x:alignment vertical="center"/>
    </x:xf>
    <x:xf numFmtId="0" fontId="12" fillId="5" borderId="18" xfId="0" applyNumberFormat="1" applyFont="1" applyFill="1" applyBorder="1" applyAlignment="1">
      <x:alignment vertical="center"/>
    </x:xf>
    <x:xf numFmtId="0" fontId="12" fillId="5" borderId="19" xfId="0" applyNumberFormat="1" applyFont="1" applyFill="1" applyBorder="1" applyAlignment="1">
      <x:alignment vertical="center"/>
    </x:xf>
    <x:xf numFmtId="0" fontId="12" fillId="5" borderId="20" xfId="0" applyNumberFormat="1" applyFont="1" applyFill="1" applyBorder="1" applyAlignment="1">
      <x:alignment vertical="center"/>
    </x:xf>
    <x:xf numFmtId="200" fontId="12" fillId="5" borderId="13" xfId="0" applyNumberFormat="1" applyFont="1" applyFill="1" applyBorder="1" applyAlignment="1">
      <x:alignment vertical="center"/>
    </x:xf>
    <x:xf numFmtId="200" fontId="12" fillId="5" borderId="14" xfId="0" applyNumberFormat="1" applyFont="1" applyFill="1" applyBorder="1" applyAlignment="1">
      <x:alignment vertical="center"/>
    </x:xf>
    <x:xf numFmtId="201" fontId="12" fillId="5" borderId="18" xfId="0" applyNumberFormat="1" applyFont="1" applyFill="1" applyBorder="1" applyAlignment="1">
      <x:alignment vertical="center"/>
    </x:xf>
    <x:xf numFmtId="204" fontId="12" fillId="5" borderId="19" xfId="0" applyNumberFormat="1" applyFont="1" applyFill="1" applyBorder="1" applyAlignment="1">
      <x:alignment vertical="center"/>
    </x:xf>
    <x:xf numFmtId="203" fontId="12" fillId="5" borderId="19" xfId="0" applyNumberFormat="1" applyFont="1" applyFill="1" applyBorder="1" applyAlignment="1">
      <x:alignment vertical="center"/>
    </x:xf>
    <x:xf numFmtId="208" fontId="12" fillId="5" borderId="19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4" fillId="3" borderId="21" xfId="0" applyNumberFormat="1" applyFont="1" applyFill="1" applyBorder="1" applyAlignment="1">
      <x:alignment horizontal="center" vertical="center"/>
    </x:xf>
    <x:xf numFmtId="0" fontId="4" fillId="3" borderId="22" xfId="0" applyNumberFormat="1" applyFont="1" applyFill="1" applyBorder="1" applyAlignment="1">
      <x:alignment horizontal="center" vertical="center"/>
    </x:xf>
    <x:xf numFmtId="0" fontId="4" fillId="3" borderId="23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13" fillId="7" borderId="0" xfId="0" applyNumberFormat="1" applyFont="1" applyFill="1" applyBorder="1" applyAlignment="1">
      <x:alignment vertical="center"/>
    </x:xf>
    <x:xf numFmtId="0" fontId="13" fillId="7" borderId="24" xfId="0" applyNumberFormat="1" applyFont="1" applyFill="1" applyBorder="1" applyAlignment="1">
      <x:alignment vertical="center"/>
    </x:xf>
    <x:xf numFmtId="0" fontId="13" fillId="7" borderId="25" xfId="0" applyNumberFormat="1" applyFont="1" applyFill="1" applyBorder="1" applyAlignment="1">
      <x:alignment vertical="center"/>
    </x:xf>
    <x:xf numFmtId="0" fontId="13" fillId="7" borderId="26" xfId="0" applyNumberFormat="1" applyFont="1" applyFill="1" applyBorder="1" applyAlignment="1">
      <x:alignment vertical="center"/>
    </x:xf>
    <x:xf numFmtId="0" fontId="13" fillId="7" borderId="24" xfId="0" applyNumberFormat="1" applyFont="1" applyFill="1" applyBorder="1" applyAlignment="1">
      <x:alignment vertical="center" wrapText="1"/>
    </x:xf>
    <x:xf numFmtId="0" fontId="13" fillId="7" borderId="25" xfId="0" applyNumberFormat="1" applyFont="1" applyFill="1" applyBorder="1" applyAlignment="1">
      <x:alignment vertical="center" wrapText="1"/>
    </x:xf>
    <x:xf numFmtId="0" fontId="13" fillId="7" borderId="2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63e7a4515c44e8" /><Relationship Type="http://schemas.openxmlformats.org/officeDocument/2006/relationships/theme" Target="/xl/theme/theme1.xml" Id="R7548866828eb4cd5" /><Relationship Type="http://schemas.openxmlformats.org/officeDocument/2006/relationships/sharedStrings" Target="/xl/sharedStrings.xml" Id="R17b741a9b034499d" /><Relationship Type="http://schemas.openxmlformats.org/officeDocument/2006/relationships/worksheet" Target="/xl/worksheets/sheet1.xml" Id="R9aabf064f9b7459b" /><Relationship Type="http://schemas.openxmlformats.org/officeDocument/2006/relationships/worksheet" Target="/xl/worksheets/sheet2.xml" Id="R844c5705ec2b4370" /><Relationship Type="http://schemas.openxmlformats.org/officeDocument/2006/relationships/worksheet" Target="/xl/worksheets/sheet3.xml" Id="Re67485c2633b46df" /><Relationship Type="http://schemas.openxmlformats.org/officeDocument/2006/relationships/worksheet" Target="/xl/worksheets/sheet4.xml" Id="Rc6b91352e33c44d2" /><Relationship Type="http://schemas.openxmlformats.org/officeDocument/2006/relationships/worksheet" Target="/xl/worksheets/sheet5.xml" Id="Re00befa7952e46c1" /><Relationship Type="http://schemas.openxmlformats.org/officeDocument/2006/relationships/worksheet" Target="/xl/worksheets/sheet6.xml" Id="R36e600513e5441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974a884dae4f8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fcf7dedbf594d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Valuation Range by Method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Low EV</c:v>
          </c:tx>
          <c:cat>
            <c:strRef>
              <c:f>'Summary'!$I$14:$I$17</c:f>
              <c:strCache>
                <c:ptCount val="0"/>
              </c:strCache>
            </c:strRef>
          </c:cat>
          <c:val>
            <c:numRef>
              <c:f>'Summary'!$J$14:$J$17</c:f>
              <c:numCache>
                <c:formatCode>$0.0</c:formatCode>
                <c:ptCount val="0"/>
              </c:numCache>
            </c:numRef>
          </c:val>
        </c:ser>
        <c:ser>
          <c:idx val="1"/>
          <c:order val="1"/>
          <c:tx>
            <c:v>High EV</c:v>
          </c:tx>
          <c:cat>
            <c:strRef>
              <c:f>'Summary'!$I$14:$I$17</c:f>
              <c:strCache>
                <c:ptCount val="0"/>
              </c:strCache>
            </c:strRef>
          </c:cat>
          <c:val>
            <c:numRef>
              <c:f>'Summary'!$K$14:$K$17</c:f>
              <c:numCache>
                <c:formatCode>$0.0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QuantaShield Growth and EBITDA Path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'Commercial'!$C$21:$C$28</c:f>
              <c:strCache>
                <c:ptCount val="0"/>
              </c:strCache>
            </c:strRef>
          </c:cat>
          <c:val>
            <c:numRef>
              <c:f>'Commercial'!$D$21:$D$28</c:f>
              <c:numCache>
                <c:formatCode>$0.0;($0.0);-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Ending ARR</c:v>
          </c:tx>
          <c:marker>
            <c:symbol val="none"/>
          </c:marker>
          <c:cat>
            <c:strRef>
              <c:f>'Commercial'!$C$21:$C$28</c:f>
              <c:strCache>
                <c:ptCount val="0"/>
              </c:strCache>
            </c:strRef>
          </c:cat>
          <c:val>
            <c:numRef>
              <c:f>'Commercial'!$E$21:$E$28</c:f>
              <c:numCache>
                <c:formatCode>$0.0;($0.0);-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EBITDA</c:v>
          </c:tx>
          <c:marker>
            <c:symbol val="none"/>
          </c:marker>
          <c:cat>
            <c:strRef>
              <c:f>'Commercial'!$C$21:$C$28</c:f>
              <c:strCache>
                <c:ptCount val="0"/>
              </c:strCache>
            </c:strRef>
          </c:cat>
          <c:val>
            <c:numRef>
              <c:f>'Commercial'!$F$21:$F$28</c:f>
              <c:numCache>
                <c:formatCode>$0.0;($0.0);-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18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974a884dae4f8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19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cf7dedbf594db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2f4a5dce12441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462825d2dc1946e2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2"/>
      <x:c r="B2" s="2"/>
      <x:c r="C2" s="3" t="str">
        <x:v>QuantaShield Acquisition Decision Summary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/>
      <x:c r="B3" s="2"/>
      <x:c r="C3" s="4" t="str">
        <x:v>Neutral third-party view | synthetic data | enterprise value basis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/>
      <x:c r="B4" s="2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A5" s="2"/>
      <x:c r="B5" s="2"/>
      <x:c r="C5" s="8" t="str">
        <x:v>Decision snapshot</x:v>
      </x:c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10"/>
      <x:c r="O5" s="2"/>
      <x:c r="P5" s="2"/>
      <x:c r="Q5" s="2"/>
    </x:row>
    <x:row r="6">
      <x:c r="A6" s="2"/>
      <x:c r="B6" s="2"/>
      <x:c r="C6" s="108" t="str">
        <x:v>2025 ARR</x:v>
      </x:c>
      <x:c r="D6" s="108"/>
      <x:c r="E6" s="108"/>
      <x:c r="F6" s="108" t="str">
        <x:v>Risk-adjusted standalone</x:v>
      </x:c>
      <x:c r="G6" s="108"/>
      <x:c r="H6" s="108"/>
      <x:c r="I6" s="108" t="str">
        <x:v>Net synergy NPV</x:v>
      </x:c>
      <x:c r="J6" s="108"/>
      <x:c r="K6" s="108"/>
      <x:c r="L6" s="108" t="str">
        <x:v>Neutral headline EV</x:v>
      </x:c>
      <x:c r="M6" s="108"/>
      <x:c r="N6" s="108"/>
      <x:c r="O6" s="2"/>
      <x:c r="P6" s="2"/>
      <x:c r="Q6" s="2"/>
    </x:row>
    <x:row r="7">
      <x:c r="A7" s="2"/>
      <x:c r="B7" s="2"/>
      <x:c r="C7" s="128" t="n">
        <x:f>Commercial!D7</x:f>
        <x:v>11.8</x:v>
      </x:c>
      <x:c r="D7" s="120"/>
      <x:c r="E7" s="120"/>
      <x:c r="F7" s="129" t="n">
        <x:f>Valuation!G10</x:f>
        <x:v>69.83084739631583</x:v>
      </x:c>
      <x:c r="G7" s="129" t="n">
        <x:f>Valuation!H10</x:f>
        <x:v>92.23084739631582</x:v>
      </x:c>
      <x:c r="H7" s="120"/>
      <x:c r="I7" s="129" t="n">
        <x:f>Valuation!M21</x:f>
        <x:v>15.090517301361015</x:v>
      </x:c>
      <x:c r="J7" s="120"/>
      <x:c r="K7" s="120"/>
      <x:c r="L7" s="129" t="n">
        <x:f>Inputs!L18</x:f>
        <x:v>100</x:v>
      </x:c>
      <x:c r="M7" s="120"/>
      <x:c r="N7" s="121"/>
      <x:c r="O7" s="2"/>
      <x:c r="P7" s="2"/>
      <x:c r="Q7" s="2"/>
    </x:row>
    <x:row r="8">
      <x:c r="A8" s="2"/>
      <x:c r="B8" s="2"/>
      <x:c r="C8" s="122" t="str">
        <x:v>ARR growth</x:v>
      </x:c>
      <x:c r="D8" s="123"/>
      <x:c r="E8" s="123"/>
      <x:c r="F8" s="123" t="str">
        <x:v>Cash runway</x:v>
      </x:c>
      <x:c r="G8" s="123"/>
      <x:c r="H8" s="123"/>
      <x:c r="I8" s="123" t="str">
        <x:v>Funding coverage</x:v>
      </x:c>
      <x:c r="J8" s="123"/>
      <x:c r="K8" s="123"/>
      <x:c r="L8" s="123" t="str">
        <x:v>Critical closing conditions</x:v>
      </x:c>
      <x:c r="M8" s="123"/>
      <x:c r="N8" s="124"/>
      <x:c r="O8" s="2"/>
      <x:c r="P8" s="2"/>
      <x:c r="Q8" s="2"/>
    </x:row>
    <x:row r="9">
      <x:c r="A9" s="2"/>
      <x:c r="B9" s="2"/>
      <x:c r="C9" s="130" t="n">
        <x:f>Commercial!D8</x:f>
        <x:v>0.7611940298507462</x:v>
      </x:c>
      <x:c r="D9" s="126"/>
      <x:c r="E9" s="126"/>
      <x:c r="F9" s="131" t="n">
        <x:f>Commercial!D13</x:f>
        <x:v>13.548387096774194</x:v>
      </x:c>
      <x:c r="G9" s="126"/>
      <x:c r="H9" s="126"/>
      <x:c r="I9" s="132" t="n">
        <x:f>Buyer_Reliability!D9</x:f>
        <x:v>4.310344827586207</x:v>
      </x:c>
      <x:c r="J9" s="126"/>
      <x:c r="K9" s="126"/>
      <x:c r="L9" s="133" t="n">
        <x:f>IP_Legal!D24</x:f>
        <x:v>4</x:v>
      </x:c>
      <x:c r="M9" s="126"/>
      <x:c r="N9" s="127"/>
      <x:c r="O9" s="2"/>
      <x:c r="P9" s="2"/>
      <x:c r="Q9" s="2"/>
    </x:row>
    <x:row r="10">
      <x:c r="A10" s="2"/>
      <x:c r="B10" s="2"/>
      <x:c r="C10" s="135" t="str">
        <x:v>View</x:v>
      </x:c>
      <x:c r="D10" s="135" t="str">
        <x:v>Plausible profitability path</x:v>
      </x:c>
      <x:c r="E10" s="135"/>
      <x:c r="F10" s="135" t="str">
        <x:v>Buyer</x:v>
      </x:c>
      <x:c r="G10" s="135" t="str">
        <x:v>Financeable with protections</x:v>
      </x:c>
      <x:c r="H10" s="135"/>
      <x:c r="I10" s="135" t="str">
        <x:v>IP/legal</x:v>
      </x:c>
      <x:c r="J10" s="135" t="str">
        <x:v>No automatic deal stop; conditions required</x:v>
      </x:c>
      <x:c r="K10" s="135"/>
      <x:c r="L10" s="135" t="str">
        <x:v>Recommendation</x:v>
      </x:c>
      <x:c r="M10" s="135" t="str">
        <x:v>Risk-allocated structure</x:v>
      </x:c>
      <x:c r="N10" s="135"/>
      <x:c r="O10" s="2"/>
      <x:c r="P10" s="2"/>
      <x:c r="Q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"/>
      <x:c r="B13" s="2"/>
      <x:c r="C13" s="8" t="str">
        <x:v>Price positions and neutral structure</x:v>
      </x:c>
      <x:c r="D13" s="9"/>
      <x:c r="E13" s="9"/>
      <x:c r="F13" s="9"/>
      <x:c r="G13" s="10"/>
      <x:c r="H13" s="2"/>
      <x:c r="I13" s="16" t="str">
        <x:v>Method</x:v>
      </x:c>
      <x:c r="J13" s="17" t="str">
        <x:v>Low EV</x:v>
      </x:c>
      <x:c r="K13" s="18" t="str">
        <x:v>High EV</x:v>
      </x:c>
      <x:c r="L13" s="2"/>
      <x:c r="M13" s="2"/>
      <x:c r="N13" s="2"/>
      <x:c r="O13" s="2"/>
      <x:c r="P13" s="2"/>
      <x:c r="Q13" s="2"/>
    </x:row>
    <x:row r="14">
      <x:c r="A14" s="2"/>
      <x:c r="B14" s="2"/>
      <x:c r="C14" s="16" t="str">
        <x:v>Position</x:v>
      </x:c>
      <x:c r="D14" s="17" t="str">
        <x:v>Cash at close</x:v>
      </x:c>
      <x:c r="E14" s="17" t="str">
        <x:v>Escrow</x:v>
      </x:c>
      <x:c r="F14" s="17" t="str">
        <x:v>Earnout</x:v>
      </x:c>
      <x:c r="G14" s="18" t="str">
        <x:v>Headline EV</x:v>
      </x:c>
      <x:c r="H14" s="2"/>
      <x:c r="I14" s="19" t="str">
        <x:v>ARR</x:v>
      </x:c>
      <x:c r="J14" s="78" t="n">
        <x:f>Valuation!G7</x:f>
        <x:v>64.9</x:v>
      </x:c>
      <x:c r="K14" s="78" t="n">
        <x:f>Valuation!H7</x:f>
        <x:v>88.5</x:v>
      </x:c>
      <x:c r="L14" s="2"/>
      <x:c r="M14" s="2"/>
      <x:c r="N14" s="2"/>
      <x:c r="O14" s="2"/>
      <x:c r="P14" s="2"/>
      <x:c r="Q14" s="2"/>
    </x:row>
    <x:row r="15">
      <x:c r="A15" s="2"/>
      <x:c r="B15" s="2"/>
      <x:c r="C15" s="19" t="str">
        <x:v>Buyer initial</x:v>
      </x:c>
      <x:c r="D15" s="78" t="n">
        <x:v>72</x:v>
      </x:c>
      <x:c r="E15" s="78" t="n">
        <x:v>0</x:v>
      </x:c>
      <x:c r="F15" s="78" t="n">
        <x:v>18</x:v>
      </x:c>
      <x:c r="G15" s="78" t="n">
        <x:v>90</x:v>
      </x:c>
      <x:c r="H15" s="2"/>
      <x:c r="I15" s="20" t="str">
        <x:v>Forward revenue</x:v>
      </x:c>
      <x:c r="J15" s="79" t="n">
        <x:f>Valuation!G8</x:f>
        <x:v>82.5</x:v>
      </x:c>
      <x:c r="K15" s="79" t="n">
        <x:f>Valuation!H8</x:f>
        <x:v>115.5</x:v>
      </x:c>
      <x:c r="L15" s="2"/>
      <x:c r="M15" s="2"/>
      <x:c r="N15" s="2"/>
      <x:c r="O15" s="2"/>
      <x:c r="P15" s="2"/>
      <x:c r="Q15" s="2"/>
    </x:row>
    <x:row r="16">
      <x:c r="A16" s="2"/>
      <x:c r="B16" s="2"/>
      <x:c r="C16" s="20" t="str">
        <x:v>Startup request</x:v>
      </x:c>
      <x:c r="D16" s="79" t="n">
        <x:v>115</x:v>
      </x:c>
      <x:c r="E16" s="79" t="n">
        <x:v>0</x:v>
      </x:c>
      <x:c r="F16" s="79" t="n">
        <x:v>0</x:v>
      </x:c>
      <x:c r="G16" s="79" t="n">
        <x:v>115</x:v>
      </x:c>
      <x:c r="H16" s="2"/>
      <x:c r="I16" s="20" t="str">
        <x:v>DCF</x:v>
      </x:c>
      <x:c r="J16" s="79" t="n">
        <x:f>Valuation!G9</x:f>
        <x:v>49.423389585263315</x:v>
      </x:c>
      <x:c r="K16" s="79" t="n">
        <x:f>Valuation!H9</x:f>
        <x:v>49.423389585263315</x:v>
      </x:c>
      <x:c r="L16" s="2"/>
      <x:c r="M16" s="2"/>
      <x:c r="N16" s="2"/>
      <x:c r="O16" s="2"/>
      <x:c r="P16" s="2"/>
      <x:c r="Q16" s="2"/>
    </x:row>
    <x:row r="17">
      <x:c r="A17" s="2"/>
      <x:c r="B17" s="2"/>
      <x:c r="C17" s="100" t="str">
        <x:v>Meridian neutral</x:v>
      </x:c>
      <x:c r="D17" s="101" t="n">
        <x:v>82</x:v>
      </x:c>
      <x:c r="E17" s="101" t="n">
        <x:v>5</x:v>
      </x:c>
      <x:c r="F17" s="101" t="n">
        <x:v>13</x:v>
      </x:c>
      <x:c r="G17" s="101" t="n">
        <x:v>100</x:v>
      </x:c>
      <x:c r="H17" s="2"/>
      <x:c r="I17" s="21" t="str">
        <x:v>Risk-adjusted</x:v>
      </x:c>
      <x:c r="J17" s="80" t="n">
        <x:f>Valuation!G10</x:f>
        <x:v>69.83084739631583</x:v>
      </x:c>
      <x:c r="K17" s="80" t="n">
        <x:f>Valuation!H10</x:f>
        <x:v>92.23084739631582</x:v>
      </x:c>
      <x:c r="L17" s="2"/>
      <x:c r="M17" s="2"/>
      <x:c r="N17" s="2"/>
      <x:c r="O17" s="2"/>
      <x:c r="P17" s="2"/>
      <x:c r="Q17" s="2"/>
    </x:row>
    <x:row r="18">
      <x:c r="A18" s="2"/>
      <x:c r="B18" s="2"/>
      <x:c r="C18" s="21" t="str">
        <x:v>Retention pool outside EV</x:v>
      </x:c>
      <x:c r="D18" s="80" t="n">
        <x:v>5</x:v>
      </x:c>
      <x:c r="E18" s="80" t="n">
        <x:v>0</x:v>
      </x:c>
      <x:c r="F18" s="80" t="n">
        <x:v>0</x:v>
      </x:c>
      <x:c r="G18" s="80" t="n">
        <x:v>5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8" t="str">
        <x:v>Balanced assessment and required actions</x:v>
      </x:c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10"/>
      <x:c r="O21" s="2"/>
      <x:c r="P21" s="2"/>
      <x:c r="Q21" s="2"/>
    </x:row>
    <x:row r="22" ht="42" customHeight="1">
      <x:c r="A22" s="2"/>
      <x:c r="B22" s="2"/>
      <x:c r="C22" s="136" t="str">
        <x:v>Topic</x:v>
      </x:c>
      <x:c r="D22" s="137" t="str">
        <x:v>Buyer-supporting evidence</x:v>
      </x:c>
      <x:c r="E22" s="137" t="str">
        <x:v>Seller-supporting evidence</x:v>
      </x:c>
      <x:c r="F22" s="137" t="str">
        <x:v>Counter-evidence / limitation</x:v>
      </x:c>
      <x:c r="G22" s="138" t="str">
        <x:v>Deal response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42" customHeight="1">
      <x:c r="A23" s="2"/>
      <x:c r="B23" s="2"/>
      <x:c r="C23" s="103" t="str">
        <x:v>Value</x:v>
      </x:c>
      <x:c r="D23" s="103" t="str">
        <x:v>DCF and concentration support caution</x:v>
      </x:c>
      <x:c r="E23" s="103" t="str">
        <x:v>growth, margin, NRR and synergy support upside</x:v>
      </x:c>
      <x:c r="F23" s="103" t="str">
        <x:v>$115m cash exceeds standalone range</x:v>
      </x:c>
      <x:c r="G23" s="103" t="str">
        <x:v>$82m close + $5m escrow + up to $13m earnout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42" customHeight="1">
      <x:c r="A24" s="2"/>
      <x:c r="B24" s="2"/>
      <x:c r="C24" s="103" t="str">
        <x:v>Profitability</x:v>
      </x:c>
      <x:c r="D24" s="103" t="str">
        <x:v>company remains loss-making</x:v>
      </x:c>
      <x:c r="E24" s="103" t="str">
        <x:v>customer ROI and 76% gross margin</x:v>
      </x:c>
      <x:c r="F24" s="103" t="str">
        <x:v>pipeline and forecast are not contracted</x:v>
      </x:c>
      <x:c r="G24" s="103" t="str">
        <x:v>earnout tied to ARR, GRR and pilot conversions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42" customHeight="1">
      <x:c r="A25" s="2"/>
      <x:c r="B25" s="2"/>
      <x:c r="C25" s="103" t="str">
        <x:v>IP/data</x:v>
      </x:c>
      <x:c r="D25" s="103" t="str">
        <x:v>four high-priority issues</x:v>
      </x:c>
      <x:c r="E25" s="103" t="str">
        <x:v>issues have defined cure paths</x:v>
      </x:c>
      <x:c r="F25" s="103" t="str">
        <x:v>validity/FTO/compliance not determined</x:v>
      </x:c>
      <x:c r="G25" s="103" t="str">
        <x:v>conditions, escrow, indemnity and validation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42" customHeight="1">
      <x:c r="A26" s="2"/>
      <x:c r="B26" s="2"/>
      <x:c r="C26" s="103" t="str">
        <x:v>Buyer reliability</x:v>
      </x:c>
      <x:c r="D26" s="103" t="str">
        <x:v>funding coverage and covenant headroom</x:v>
      </x:c>
      <x:c r="E26" s="103" t="str">
        <x:v>distribution can increase strategic value</x:v>
      </x:c>
      <x:c r="F26" s="103" t="str">
        <x:v>integration overruns and earnout control</x:v>
      </x:c>
      <x:c r="G26" s="103" t="str">
        <x:v>guarantee, audit rights, staffing and acceleration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42" customHeight="1">
      <x:c r="A27" s="2"/>
      <x:c r="B27" s="2"/>
      <x:c r="C27" s="104" t="str">
        <x:v>Open conditions</x:v>
      </x:c>
      <x:c r="D27" s="104" t="str">
        <x:v>QS-102; restricted data; AGPL; customer consents</x:v>
      </x:c>
      <x:c r="E27" s="104" t="str">
        <x:v>funding certificate and retention pool</x:v>
      </x:c>
      <x:c r="F27" s="104" t="str">
        <x:v>specialist review remains required</x:v>
      </x:c>
      <x:c r="G27" s="104" t="str">
        <x:v>do not close until defined evidence is received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74" t="str">
        <x:v>Required before close</x:v>
      </x:c>
      <x:c r="D30" s="75" t="str">
        <x:v>1. QS-102 assignment and release</x:v>
      </x:c>
      <x:c r="E30" s="75"/>
      <x:c r="F30" s="75"/>
      <x:c r="G30" s="75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75" t="str">
        <x:v>2. Remove restricted FI-001 data, retrain and validate</x:v>
      </x:c>
      <x:c r="E31" s="75"/>
      <x:c r="F31" s="75"/>
      <x:c r="G31" s="75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75" t="str">
        <x:v>3. Replace or license network-exposed AGPL component</x:v>
      </x:c>
      <x:c r="E32" s="75"/>
      <x:c r="F32" s="75"/>
      <x:c r="G32" s="75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75" t="str">
        <x:v>4. Obtain three customer change-of-control consents</x:v>
      </x:c>
      <x:c r="E33" s="75"/>
      <x:c r="F33" s="75"/>
      <x:c r="G33" s="75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75" t="str">
        <x:v>5. Buyer funding certificate and agreed seller protections</x:v>
      </x:c>
      <x:c r="E34" s="75"/>
      <x:c r="F34" s="75"/>
      <x:c r="G34" s="75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144" t="str">
        <x:v>Important: This workbook uses synthetic assumptions for demonstration. It is not legal, accounting, regulatory or investment advice.</x:v>
      </x:c>
      <x:c r="D36" s="145"/>
      <x:c r="E36" s="145"/>
      <x:c r="F36" s="145"/>
      <x:c r="G36" s="145"/>
      <x:c r="H36" s="145"/>
      <x:c r="I36" s="145"/>
      <x:c r="J36" s="145"/>
      <x:c r="K36" s="145"/>
      <x:c r="L36" s="145"/>
      <x:c r="M36" s="145"/>
      <x:c r="N36" s="146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</x:sheetData>
  <x:pageMargins left="0.7" right="0.7" top="0.75" bottom="0.75" header="0.3" footer="0.3"/>
  <x:drawing xmlns:r="http://schemas.openxmlformats.org/officeDocument/2006/relationships" r:id="R82f4a5dce124412b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2"/>
      <x:c r="B2" s="2"/>
      <x:c r="C2" s="3" t="str">
        <x:v>Standalone Valuation and Strategic Value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/>
      <x:c r="B3" s="2"/>
      <x:c r="C3" s="4" t="str">
        <x:v>Three-method range plus five-year net synergy NPV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/>
      <x:c r="B4" s="2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A5" s="2"/>
      <x:c r="B5" s="2"/>
      <x:c r="C5" s="8" t="str">
        <x:v>Standalone enterprise value</x:v>
      </x:c>
      <x:c r="D5" s="9"/>
      <x:c r="E5" s="9"/>
      <x:c r="F5" s="9"/>
      <x:c r="G5" s="9"/>
      <x:c r="H5" s="10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/>
      <x:c r="B6" s="2"/>
      <x:c r="C6" s="16" t="str">
        <x:v>Method</x:v>
      </x:c>
      <x:c r="D6" s="17" t="str">
        <x:v>Base metric</x:v>
      </x:c>
      <x:c r="E6" s="17" t="str">
        <x:v>Low multiple</x:v>
      </x:c>
      <x:c r="F6" s="17" t="str">
        <x:v>High multiple</x:v>
      </x:c>
      <x:c r="G6" s="17" t="str">
        <x:v>Low EV</x:v>
      </x:c>
      <x:c r="H6" s="18" t="str">
        <x:v>High EV</x:v>
      </x:c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/>
      <x:c r="B7" s="2"/>
      <x:c r="C7" s="19" t="str">
        <x:v>2025 ending ARR</x:v>
      </x:c>
      <x:c r="D7" s="67" t="n">
        <x:f>Inputs!L7</x:f>
        <x:v>11.8</x:v>
      </x:c>
      <x:c r="E7" s="76" t="n">
        <x:f>Inputs!L9</x:f>
        <x:v>5.5</x:v>
      </x:c>
      <x:c r="F7" s="76" t="n">
        <x:f>Inputs!M9</x:f>
        <x:v>7.5</x:v>
      </x:c>
      <x:c r="G7" s="78" t="n">
        <x:f>D7*E7</x:f>
        <x:v>64.9</x:v>
      </x:c>
      <x:c r="H7" s="78" t="n">
        <x:f>D7*F7</x:f>
        <x:v>88.5</x:v>
      </x:c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"/>
      <x:c r="B8" s="2"/>
      <x:c r="C8" s="20" t="str">
        <x:v>2026E revenue</x:v>
      </x:c>
      <x:c r="D8" s="70" t="n">
        <x:f>Inputs!L8</x:f>
        <x:v>16.5</x:v>
      </x:c>
      <x:c r="E8" s="77" t="n">
        <x:f>Inputs!L10</x:f>
        <x:v>5</x:v>
      </x:c>
      <x:c r="F8" s="77" t="n">
        <x:f>Inputs!M10</x:f>
        <x:v>7</x:v>
      </x:c>
      <x:c r="G8" s="79" t="n">
        <x:f>D8*E8</x:f>
        <x:v>82.5</x:v>
      </x:c>
      <x:c r="H8" s="79" t="n">
        <x:f>D8*F8</x:f>
        <x:v>115.5</x:v>
      </x:c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2"/>
      <x:c r="B9" s="2"/>
      <x:c r="C9" s="20" t="str">
        <x:v>DCF</x:v>
      </x:c>
      <x:c r="D9" s="20"/>
      <x:c r="E9" s="20"/>
      <x:c r="F9" s="20"/>
      <x:c r="G9" s="79" t="n">
        <x:f>$F$22</x:f>
        <x:v>49.423389585263315</x:v>
      </x:c>
      <x:c r="H9" s="79" t="n">
        <x:f>$F$22</x:f>
        <x:v>49.423389585263315</x:v>
      </x:c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2"/>
      <x:c r="B10" s="2"/>
      <x:c r="C10" s="83" t="str">
        <x:v>Risk-adjusted range</x:v>
      </x:c>
      <x:c r="D10" s="83"/>
      <x:c r="E10" s="83"/>
      <x:c r="F10" s="83"/>
      <x:c r="G10" s="84" t="n">
        <x:f>G7*Inputs!L13+G8*Inputs!L14+G9*Inputs!L15</x:f>
        <x:v>69.83084739631583</x:v>
      </x:c>
      <x:c r="H10" s="84" t="n">
        <x:f>H7*Inputs!L13+H8*Inputs!L14+H9*Inputs!L15</x:f>
        <x:v>92.23084739631582</x:v>
      </x:c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"/>
      <x:c r="B13" s="2"/>
      <x:c r="C13" s="8" t="str">
        <x:v>DCF schedule</x:v>
      </x:c>
      <x:c r="D13" s="9"/>
      <x:c r="E13" s="9"/>
      <x:c r="F13" s="10"/>
      <x:c r="G13" s="2"/>
      <x:c r="H13" s="8" t="str">
        <x:v>Five-year synergy NPV</x:v>
      </x:c>
      <x:c r="I13" s="9"/>
      <x:c r="J13" s="9"/>
      <x:c r="K13" s="9"/>
      <x:c r="L13" s="9"/>
      <x:c r="M13" s="10"/>
      <x:c r="N13" s="2"/>
      <x:c r="O13" s="2"/>
      <x:c r="P13" s="2"/>
      <x:c r="Q13" s="2"/>
    </x:row>
    <x:row r="14">
      <x:c r="A14" s="2"/>
      <x:c r="B14" s="2"/>
      <x:c r="C14" s="16" t="str">
        <x:v>Year</x:v>
      </x:c>
      <x:c r="D14" s="17" t="str">
        <x:v>Free cash flow</x:v>
      </x:c>
      <x:c r="E14" s="17" t="str">
        <x:v>Discount factor</x:v>
      </x:c>
      <x:c r="F14" s="18" t="str">
        <x:v>Present value</x:v>
      </x:c>
      <x:c r="G14" s="2"/>
      <x:c r="H14" s="16" t="str">
        <x:v>Year</x:v>
      </x:c>
      <x:c r="I14" s="17" t="str">
        <x:v>Steady synergy</x:v>
      </x:c>
      <x:c r="J14" s="17" t="str">
        <x:v>Ramp</x:v>
      </x:c>
      <x:c r="K14" s="17" t="str">
        <x:v>Benefit</x:v>
      </x:c>
      <x:c r="L14" s="17" t="str">
        <x:v>Integration cost</x:v>
      </x:c>
      <x:c r="M14" s="18" t="str">
        <x:v>Net PV</x:v>
      </x:c>
      <x:c r="N14" s="2"/>
      <x:c r="O14" s="2"/>
      <x:c r="P14" s="2"/>
      <x:c r="Q14" s="2"/>
    </x:row>
    <x:row r="15">
      <x:c r="A15" s="2"/>
      <x:c r="B15" s="2"/>
      <x:c r="C15" s="19" t="n">
        <x:v>1</x:v>
      </x:c>
      <x:c r="D15" s="71" t="n">
        <x:f>Inputs!H10</x:f>
        <x:v>-4</x:v>
      </x:c>
      <x:c r="E15" s="86" t="n">
        <x:f>1/(1+Inputs!$L$11)^C15</x:f>
        <x:v>0.8474576271186441</x:v>
      </x:c>
      <x:c r="F15" s="88" t="n">
        <x:f>D15*E15</x:f>
        <x:v>-3.3898305084745766</x:v>
      </x:c>
      <x:c r="G15" s="2"/>
      <x:c r="H15" s="19" t="n">
        <x:v>1</x:v>
      </x:c>
      <x:c r="I15" s="67" t="n">
        <x:f>SUM(Inputs!$I$19:$I$23)</x:f>
        <x:v>10.500000000000002</x:v>
      </x:c>
      <x:c r="J15" s="94" t="n">
        <x:f>Inputs!I25</x:f>
        <x:v>0.25</x:v>
      </x:c>
      <x:c r="K15" s="88" t="n">
        <x:f>I15*J15</x:f>
        <x:v>2.6250000000000004</x:v>
      </x:c>
      <x:c r="L15" s="88" t="n">
        <x:f>Inputs!I28</x:f>
        <x:v>5</x:v>
      </x:c>
      <x:c r="M15" s="88" t="n">
        <x:f>K15/(1+Inputs!$I$24)^H15-L15/(1+Inputs!$I$24)^(H15-1)</x:f>
        <x:v>-2.6973684210526314</x:v>
      </x:c>
      <x:c r="N15" s="2"/>
      <x:c r="O15" s="2"/>
      <x:c r="P15" s="2"/>
      <x:c r="Q15" s="2"/>
    </x:row>
    <x:row r="16">
      <x:c r="A16" s="2"/>
      <x:c r="B16" s="2"/>
      <x:c r="C16" s="20" t="n">
        <x:v>2</x:v>
      </x:c>
      <x:c r="D16" s="72" t="n">
        <x:f>Inputs!H11</x:f>
        <x:v>0.5</x:v>
      </x:c>
      <x:c r="E16" s="87" t="n">
        <x:f>1/(1+Inputs!$L$11)^C16</x:f>
        <x:v>0.7181844297615628</x:v>
      </x:c>
      <x:c r="F16" s="85" t="n">
        <x:f>D16*E16</x:f>
        <x:v>0.3590922148807814</x:v>
      </x:c>
      <x:c r="G16" s="2"/>
      <x:c r="H16" s="20" t="n">
        <x:v>2</x:v>
      </x:c>
      <x:c r="I16" s="70" t="n">
        <x:f>SUM(Inputs!$I$19:$I$23)</x:f>
        <x:v>10.500000000000002</x:v>
      </x:c>
      <x:c r="J16" s="95" t="n">
        <x:f>Inputs!I26</x:f>
        <x:v>0.6</x:v>
      </x:c>
      <x:c r="K16" s="85" t="n">
        <x:f>I16*J16</x:f>
        <x:v>6.300000000000001</x:v>
      </x:c>
      <x:c r="L16" s="85" t="n">
        <x:f>Inputs!I29</x:f>
        <x:v>4</x:v>
      </x:c>
      <x:c r="M16" s="85" t="n">
        <x:f>K16/(1+Inputs!$I$24)^H16-L16/(1+Inputs!$I$24)^(H16-1)</x:f>
        <x:v>1.3388734995383191</x:v>
      </x:c>
      <x:c r="N16" s="2"/>
      <x:c r="O16" s="2"/>
      <x:c r="P16" s="2"/>
      <x:c r="Q16" s="2"/>
    </x:row>
    <x:row r="17">
      <x:c r="A17" s="2"/>
      <x:c r="B17" s="2"/>
      <x:c r="C17" s="20" t="n">
        <x:v>3</x:v>
      </x:c>
      <x:c r="D17" s="72" t="n">
        <x:f>Inputs!H12</x:f>
        <x:v>5.5</x:v>
      </x:c>
      <x:c r="E17" s="87" t="n">
        <x:f>1/(1+Inputs!$L$11)^C17</x:f>
        <x:v>0.6086308726792905</x:v>
      </x:c>
      <x:c r="F17" s="85" t="n">
        <x:f>D17*E17</x:f>
        <x:v>3.3474697997360976</x:v>
      </x:c>
      <x:c r="G17" s="2"/>
      <x:c r="H17" s="20" t="n">
        <x:v>3</x:v>
      </x:c>
      <x:c r="I17" s="70" t="n">
        <x:f>SUM(Inputs!$I$19:$I$23)</x:f>
        <x:v>10.500000000000002</x:v>
      </x:c>
      <x:c r="J17" s="95" t="n">
        <x:f>Inputs!I27</x:f>
        <x:v>1</x:v>
      </x:c>
      <x:c r="K17" s="85" t="n">
        <x:f>I17*J17</x:f>
        <x:v>10.500000000000002</x:v>
      </x:c>
      <x:c r="L17" s="85" t="n">
        <x:f>Inputs!I30</x:f>
        <x:v>3</x:v>
      </x:c>
      <x:c r="M17" s="85" t="n">
        <x:f>K17/(1+Inputs!$I$24)^H17-L17/(1+Inputs!$I$24)^(H17-1)</x:f>
        <x:v>4.778798334710276</x:v>
      </x:c>
      <x:c r="N17" s="2"/>
      <x:c r="O17" s="2"/>
      <x:c r="P17" s="2"/>
      <x:c r="Q17" s="2"/>
    </x:row>
    <x:row r="18">
      <x:c r="A18" s="2"/>
      <x:c r="B18" s="2"/>
      <x:c r="C18" s="20" t="n">
        <x:v>4</x:v>
      </x:c>
      <x:c r="D18" s="72" t="n">
        <x:f>Inputs!H13</x:f>
        <x:v>9</x:v>
      </x:c>
      <x:c r="E18" s="87" t="n">
        <x:f>1/(1+Inputs!$L$11)^C18</x:f>
        <x:v>0.5157888751519412</x:v>
      </x:c>
      <x:c r="F18" s="85" t="n">
        <x:f>D18*E18</x:f>
        <x:v>4.64209987636747</x:v>
      </x:c>
      <x:c r="G18" s="2"/>
      <x:c r="H18" s="20" t="n">
        <x:v>4</x:v>
      </x:c>
      <x:c r="I18" s="70" t="n">
        <x:f>SUM(Inputs!$I$19:$I$23)</x:f>
        <x:v>10.500000000000002</x:v>
      </x:c>
      <x:c r="J18" s="95" t="n">
        <x:f>Inputs!I27</x:f>
        <x:v>1</x:v>
      </x:c>
      <x:c r="K18" s="85" t="n">
        <x:f>I18*J18</x:f>
        <x:v>10.500000000000002</x:v>
      </x:c>
      <x:c r="L18" s="85" t="n">
        <x:f>0</x:f>
        <x:v>0</x:v>
      </x:c>
      <x:c r="M18" s="85" t="n">
        <x:f>K18/(1+Inputs!$I$24)^H18-L18/(1+Inputs!$I$24)^(H18-1)</x:f>
        <x:v>6.21684291238699</x:v>
      </x:c>
      <x:c r="N18" s="2"/>
      <x:c r="O18" s="2"/>
      <x:c r="P18" s="2"/>
      <x:c r="Q18" s="2"/>
    </x:row>
    <x:row r="19">
      <x:c r="A19" s="2"/>
      <x:c r="B19" s="2"/>
      <x:c r="C19" s="20" t="n">
        <x:v>5</x:v>
      </x:c>
      <x:c r="D19" s="72" t="n">
        <x:f>Inputs!H14</x:f>
        <x:v>12.5</x:v>
      </x:c>
      <x:c r="E19" s="87" t="n">
        <x:f>1/(1+Inputs!$L$11)^C19</x:f>
        <x:v>0.4371092162304586</x:v>
      </x:c>
      <x:c r="F19" s="85" t="n">
        <x:f>D19*E19</x:f>
        <x:v>5.463865202880733</x:v>
      </x:c>
      <x:c r="G19" s="2"/>
      <x:c r="H19" s="20" t="n">
        <x:v>5</x:v>
      </x:c>
      <x:c r="I19" s="70" t="n">
        <x:f>SUM(Inputs!$I$19:$I$23)</x:f>
        <x:v>10.500000000000002</x:v>
      </x:c>
      <x:c r="J19" s="95" t="n">
        <x:f>Inputs!I27</x:f>
        <x:v>1</x:v>
      </x:c>
      <x:c r="K19" s="85" t="n">
        <x:f>I19*J19</x:f>
        <x:v>10.500000000000002</x:v>
      </x:c>
      <x:c r="L19" s="85" t="n">
        <x:f>0</x:f>
        <x:v>0</x:v>
      </x:c>
      <x:c r="M19" s="85" t="n">
        <x:f>K19/(1+Inputs!$I$24)^H19-L19/(1+Inputs!$I$24)^(H19-1)</x:f>
        <x:v>5.453370975778061</x:v>
      </x:c>
      <x:c r="N19" s="2"/>
      <x:c r="O19" s="2"/>
      <x:c r="P19" s="2"/>
      <x:c r="Q19" s="2"/>
    </x:row>
    <x:row r="20">
      <x:c r="A20" s="2"/>
      <x:c r="B20" s="2"/>
      <x:c r="C20" s="20" t="str">
        <x:v>Terminal value</x:v>
      </x:c>
      <x:c r="D20" s="85" t="n">
        <x:f>D19*(1+Inputs!$L$12)/(Inputs!$L$11-Inputs!$L$12)</x:f>
        <x:v>89.22413793103448</x:v>
      </x:c>
      <x:c r="E20" s="20"/>
      <x:c r="F20" s="85"/>
      <x:c r="G20" s="2"/>
      <x:c r="H20" s="20" t="str">
        <x:v>Total</x:v>
      </x:c>
      <x:c r="I20" s="20"/>
      <x:c r="J20" s="20"/>
      <x:c r="K20" s="85" t="n">
        <x:f>SUM(K15:K19)</x:f>
        <x:v>40.425000000000004</x:v>
      </x:c>
      <x:c r="L20" s="85" t="n">
        <x:f>SUM(L15:L19)</x:f>
        <x:v>12</x:v>
      </x:c>
      <x:c r="M20" s="85"/>
      <x:c r="N20" s="2"/>
      <x:c r="O20" s="2"/>
      <x:c r="P20" s="2"/>
      <x:c r="Q20" s="2"/>
    </x:row>
    <x:row r="21">
      <x:c r="A21" s="2"/>
      <x:c r="B21" s="2"/>
      <x:c r="C21" s="20" t="str">
        <x:v>PV terminal value</x:v>
      </x:c>
      <x:c r="D21" s="20"/>
      <x:c r="E21" s="20"/>
      <x:c r="F21" s="85" t="n">
        <x:f>D20/(1+Inputs!$L$11)^5</x:f>
        <x:v>39.00069299987281</x:v>
      </x:c>
      <x:c r="G21" s="2"/>
      <x:c r="H21" s="83" t="str">
        <x:v>Net synergy NPV</x:v>
      </x:c>
      <x:c r="I21" s="83"/>
      <x:c r="J21" s="83"/>
      <x:c r="K21" s="97"/>
      <x:c r="L21" s="97"/>
      <x:c r="M21" s="97" t="n">
        <x:f>SUM(M15:M19)</x:f>
        <x:v>15.090517301361015</x:v>
      </x:c>
      <x:c r="N21" s="2"/>
      <x:c r="O21" s="2"/>
      <x:c r="P21" s="2"/>
      <x:c r="Q21" s="2"/>
    </x:row>
    <x:row r="22">
      <x:c r="A22" s="2"/>
      <x:c r="B22" s="2"/>
      <x:c r="C22" s="92" t="str">
        <x:v>DCF enterprise value</x:v>
      </x:c>
      <x:c r="D22" s="92"/>
      <x:c r="E22" s="92"/>
      <x:c r="F22" s="93" t="n">
        <x:f>SUM(F15:F19)+F21</x:f>
        <x:v>49.423389585263315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8" t="str">
        <x:v>Deal structure comparison</x:v>
      </x:c>
      <x:c r="D25" s="9"/>
      <x:c r="E25" s="9"/>
      <x:c r="F25" s="9"/>
      <x:c r="G25" s="9"/>
      <x:c r="H25" s="10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16" t="str">
        <x:v>Structure</x:v>
      </x:c>
      <x:c r="D26" s="17" t="str">
        <x:v>Cash at close</x:v>
      </x:c>
      <x:c r="E26" s="17" t="str">
        <x:v>Escrow</x:v>
      </x:c>
      <x:c r="F26" s="17" t="str">
        <x:v>Earnout</x:v>
      </x:c>
      <x:c r="G26" s="18" t="str">
        <x:v>Headline EV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19" t="str">
        <x:v>Buyer initial</x:v>
      </x:c>
      <x:c r="D27" s="78" t="n">
        <x:v>72</x:v>
      </x:c>
      <x:c r="E27" s="78" t="n">
        <x:v>0</x:v>
      </x:c>
      <x:c r="F27" s="78" t="n">
        <x:v>18</x:v>
      </x:c>
      <x:c r="G27" s="78" t="n">
        <x:v>90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20" t="str">
        <x:v>Startup request</x:v>
      </x:c>
      <x:c r="D28" s="79" t="n">
        <x:v>115</x:v>
      </x:c>
      <x:c r="E28" s="79" t="n">
        <x:v>0</x:v>
      </x:c>
      <x:c r="F28" s="79" t="n">
        <x:v>0</x:v>
      </x:c>
      <x:c r="G28" s="79" t="n">
        <x:v>115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100" t="str">
        <x:v>Meridian neutral</x:v>
      </x:c>
      <x:c r="D29" s="101" t="n">
        <x:v>82</x:v>
      </x:c>
      <x:c r="E29" s="101" t="n">
        <x:v>5</x:v>
      </x:c>
      <x:c r="F29" s="101" t="n">
        <x:v>13</x:v>
      </x:c>
      <x:c r="G29" s="101" t="n">
        <x:v>100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1" t="str">
        <x:v>Retention pool outside EV</x:v>
      </x:c>
      <x:c r="D30" s="80" t="n">
        <x:v>5</x:v>
      </x:c>
      <x:c r="E30" s="80" t="n">
        <x:v>0</x:v>
      </x:c>
      <x:c r="F30" s="80" t="n">
        <x:v>0</x:v>
      </x:c>
      <x:c r="G30" s="80" t="n">
        <x:v>5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28" hidden="0" customWidth="1"/>
    <x:col min="4" max="4" width="118.55999755859375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2"/>
      <x:c r="B2" s="2"/>
      <x:c r="C2" s="3" t="str">
        <x:v>Commercial and Profitability Analysis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/>
      <x:c r="B3" s="2"/>
      <x:c r="C3" s="4" t="str">
        <x:v>Growth quality, customer economics and path to EBITDA break-even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/>
      <x:c r="B4" s="2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A5" s="2"/>
      <x:c r="B5" s="2"/>
      <x:c r="C5" s="8" t="str">
        <x:v>Core commercial metrics</x:v>
      </x:c>
      <x:c r="D5" s="9"/>
      <x:c r="E5" s="9"/>
      <x:c r="F5" s="9"/>
      <x:c r="G5" s="10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/>
      <x:c r="B6" s="2"/>
      <x:c r="C6" s="16" t="str">
        <x:v>Metric</x:v>
      </x:c>
      <x:c r="D6" s="17" t="str">
        <x:v>Value</x:v>
      </x:c>
      <x:c r="E6" s="17" t="str">
        <x:v>Unit</x:v>
      </x:c>
      <x:c r="F6" s="17" t="str">
        <x:v>Evidence</x:v>
      </x:c>
      <x:c r="G6" s="18" t="str">
        <x:v>Assessment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/>
      <x:c r="B7" s="2"/>
      <x:c r="C7" s="19" t="str">
        <x:v>2025 ending ARR</x:v>
      </x:c>
      <x:c r="D7" s="67" t="n">
        <x:f>Inputs!E9</x:f>
        <x:v>11.8</x:v>
      </x:c>
      <x:c r="E7" s="19" t="str">
        <x:v>$m</x:v>
      </x:c>
      <x:c r="F7" s="19" t="str">
        <x:v>signed disclosure</x:v>
      </x:c>
      <x:c r="G7" s="19" t="str">
        <x:v>scale established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"/>
      <x:c r="B8" s="2"/>
      <x:c r="C8" s="20" t="str">
        <x:v>ARR growth</x:v>
      </x:c>
      <x:c r="D8" s="68" t="n">
        <x:f>Inputs!E9/Inputs!E8-1</x:f>
        <x:v>0.7611940298507462</x:v>
      </x:c>
      <x:c r="E8" s="20" t="str">
        <x:v>%</x:v>
      </x:c>
      <x:c r="F8" s="20" t="str">
        <x:v>2024-2025</x:v>
      </x:c>
      <x:c r="G8" s="20" t="str">
        <x:v>strong growth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2"/>
      <x:c r="B9" s="2"/>
      <x:c r="C9" s="20" t="str">
        <x:v>Gross retention</x:v>
      </x:c>
      <x:c r="D9" s="68" t="n">
        <x:f>Inputs!D19</x:f>
        <x:v>0.92</x:v>
      </x:c>
      <x:c r="E9" s="20" t="str">
        <x:v>%</x:v>
      </x:c>
      <x:c r="F9" s="20" t="str">
        <x:v>approved summary</x:v>
      </x:c>
      <x:c r="G9" s="20" t="str">
        <x:v>positive, not exceptional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2"/>
      <x:c r="B10" s="2"/>
      <x:c r="C10" s="20" t="str">
        <x:v>Net revenue retention</x:v>
      </x:c>
      <x:c r="D10" s="68" t="n">
        <x:f>Inputs!D20</x:f>
        <x:v>1.16</x:v>
      </x:c>
      <x:c r="E10" s="20" t="str">
        <x:v>%</x:v>
      </x:c>
      <x:c r="F10" s="20" t="str">
        <x:v>approved summary</x:v>
      </x:c>
      <x:c r="G10" s="20" t="str">
        <x:v>expansion offsets churn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2"/>
      <x:c r="B11" s="2"/>
      <x:c r="C11" s="20" t="str">
        <x:v>Gross margin</x:v>
      </x:c>
      <x:c r="D11" s="68" t="n">
        <x:f>Inputs!F9</x:f>
        <x:v>0.76</x:v>
      </x:c>
      <x:c r="E11" s="20" t="str">
        <x:v>%</x:v>
      </x:c>
      <x:c r="F11" s="20" t="str">
        <x:v>2025 actual</x:v>
      </x:c>
      <x:c r="G11" s="20" t="str">
        <x:v>supports software economics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"/>
      <x:c r="B12" s="2"/>
      <x:c r="C12" s="20" t="str">
        <x:v>CAC payback</x:v>
      </x:c>
      <x:c r="D12" s="69" t="n">
        <x:f>Inputs!D21</x:f>
        <x:v>18</x:v>
      </x:c>
      <x:c r="E12" s="20" t="str">
        <x:v>months</x:v>
      </x:c>
      <x:c r="F12" s="20" t="str">
        <x:v>approved summary</x:v>
      </x:c>
      <x:c r="G12" s="20" t="str">
        <x:v>acceptable; long sales cycle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"/>
      <x:c r="B13" s="2"/>
      <x:c r="C13" s="20" t="str">
        <x:v>Cash runway</x:v>
      </x:c>
      <x:c r="D13" s="69" t="n">
        <x:f>Inputs!I9/Inputs!D22</x:f>
        <x:v>13.548387096774194</x:v>
      </x:c>
      <x:c r="E13" s="20" t="str">
        <x:v>months</x:v>
      </x:c>
      <x:c r="F13" s="20" t="str">
        <x:v>cash / monthly burn</x:v>
      </x:c>
      <x:c r="G13" s="20" t="str">
        <x:v>financing pressure if delayed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"/>
      <x:c r="B14" s="2"/>
      <x:c r="C14" s="20" t="str">
        <x:v>Top-three ARR concentration</x:v>
      </x:c>
      <x:c r="D14" s="68" t="n">
        <x:f>Inputs!D24/Inputs!E9</x:f>
        <x:v>0.423728813559322</x:v>
      </x:c>
      <x:c r="E14" s="20" t="str">
        <x:v>%</x:v>
      </x:c>
      <x:c r="F14" s="20" t="str">
        <x:v>tokenized roster</x:v>
      </x:c>
      <x:c r="G14" s="20" t="str">
        <x:v>material renewal sensitivity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"/>
      <x:c r="B15" s="2"/>
      <x:c r="C15" s="20" t="str">
        <x:v>Weighted pipeline</x:v>
      </x:c>
      <x:c r="D15" s="70" t="n">
        <x:f>Inputs!D25</x:f>
        <x:v>5.1</x:v>
      </x:c>
      <x:c r="E15" s="20" t="str">
        <x:v>$m</x:v>
      </x:c>
      <x:c r="F15" s="20" t="str">
        <x:v>stage probability</x:v>
      </x:c>
      <x:c r="G15" s="20" t="str">
        <x:v>not contracted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21" t="str">
        <x:v>Forecast EBITDA break-even</x:v>
      </x:c>
      <x:c r="D16" s="66" t="n">
        <x:f>Inputs!D26</x:f>
        <x:v>4.485</x:v>
      </x:c>
      <x:c r="E16" s="21" t="str">
        <x:v>year</x:v>
      </x:c>
      <x:c r="F16" s="21" t="str">
        <x:v>management forecast</x:v>
      </x:c>
      <x:c r="G16" s="21" t="str">
        <x:v>conditional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8" t="str">
        <x:v>Revenue, ARR and EBITDA trajectory</x:v>
      </x:c>
      <x:c r="D19" s="9"/>
      <x:c r="E19" s="9"/>
      <x:c r="F19" s="9"/>
      <x:c r="G19" s="9"/>
      <x:c r="H19" s="9"/>
      <x:c r="I19" s="9"/>
      <x:c r="J19" s="10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16" t="str">
        <x:v>Period</x:v>
      </x:c>
      <x:c r="D20" s="17" t="str">
        <x:v>Revenue</x:v>
      </x:c>
      <x:c r="E20" s="17" t="str">
        <x:v>Ending ARR</x:v>
      </x:c>
      <x:c r="F20" s="18" t="str">
        <x:v>EBITDA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64" t="str">
        <x:f>Inputs!C7</x:f>
        <x:v>2023A</x:v>
      </x:c>
      <x:c r="D21" s="71" t="n">
        <x:f>Inputs!D7</x:f>
        <x:v>3.1</x:v>
      </x:c>
      <x:c r="E21" s="71" t="n">
        <x:f>Inputs!E7</x:f>
        <x:v>3.8</x:v>
      </x:c>
      <x:c r="F21" s="71" t="n">
        <x:f>Inputs!G7</x:f>
        <x:v>-7.8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65" t="str">
        <x:f>Inputs!C8</x:f>
        <x:v>2024A</x:v>
      </x:c>
      <x:c r="D22" s="72" t="n">
        <x:f>Inputs!D8</x:f>
        <x:v>6.4</x:v>
      </x:c>
      <x:c r="E22" s="72" t="n">
        <x:f>Inputs!E8</x:f>
        <x:v>6.7</x:v>
      </x:c>
      <x:c r="F22" s="72" t="n">
        <x:f>Inputs!G8</x:f>
        <x:v>-6.6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65" t="str">
        <x:f>Inputs!C9</x:f>
        <x:v>2025A</x:v>
      </x:c>
      <x:c r="D23" s="72" t="n">
        <x:f>Inputs!D9</x:f>
        <x:v>10.6</x:v>
      </x:c>
      <x:c r="E23" s="72" t="n">
        <x:f>Inputs!E9</x:f>
        <x:v>11.8</x:v>
      </x:c>
      <x:c r="F23" s="72" t="n">
        <x:f>Inputs!G9</x:f>
        <x:v>-5.2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65" t="str">
        <x:f>Inputs!C10</x:f>
        <x:v>2026E</x:v>
      </x:c>
      <x:c r="D24" s="72" t="n">
        <x:f>Inputs!D10</x:f>
        <x:v>16.5</x:v>
      </x:c>
      <x:c r="E24" s="72" t="n">
        <x:f>Inputs!E10</x:f>
        <x:v>18.2</x:v>
      </x:c>
      <x:c r="F24" s="72" t="n">
        <x:f>Inputs!G10</x:f>
        <x:v>-2.1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65" t="str">
        <x:f>Inputs!C11</x:f>
        <x:v>2027E</x:v>
      </x:c>
      <x:c r="D25" s="72" t="n">
        <x:f>Inputs!D11</x:f>
        <x:v>25</x:v>
      </x:c>
      <x:c r="E25" s="72" t="n">
        <x:f>Inputs!E11</x:f>
        <x:v>27.2</x:v>
      </x:c>
      <x:c r="F25" s="72" t="n">
        <x:f>Inputs!G11</x:f>
        <x:v>2.8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65" t="str">
        <x:f>Inputs!C12</x:f>
        <x:v>2028E</x:v>
      </x:c>
      <x:c r="D26" s="72" t="n">
        <x:f>Inputs!D12</x:f>
        <x:v>35</x:v>
      </x:c>
      <x:c r="E26" s="72" t="n">
        <x:f>Inputs!E12</x:f>
        <x:v>37.5</x:v>
      </x:c>
      <x:c r="F26" s="72" t="n">
        <x:f>Inputs!G12</x:f>
        <x:v>8.4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A27" s="2"/>
      <x:c r="B27" s="2"/>
      <x:c r="C27" s="65" t="str">
        <x:f>Inputs!C13</x:f>
        <x:v>2029E</x:v>
      </x:c>
      <x:c r="D27" s="72" t="n">
        <x:f>Inputs!D13</x:f>
        <x:v>45</x:v>
      </x:c>
      <x:c r="E27" s="72" t="n">
        <x:f>Inputs!E13</x:f>
        <x:v>47.8</x:v>
      </x:c>
      <x:c r="F27" s="72" t="n">
        <x:f>Inputs!G13</x:f>
        <x:v>13.8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A28" s="2"/>
      <x:c r="B28" s="2"/>
      <x:c r="C28" s="66" t="str">
        <x:f>Inputs!C14</x:f>
        <x:v>2030E</x:v>
      </x:c>
      <x:c r="D28" s="73" t="n">
        <x:f>Inputs!D14</x:f>
        <x:v>55</x:v>
      </x:c>
      <x:c r="E28" s="73" t="n">
        <x:f>Inputs!E14</x:f>
        <x:v>58</x:v>
      </x:c>
      <x:c r="F28" s="73" t="n">
        <x:f>Inputs!G14</x:f>
        <x:v>18.7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36" customHeight="1">
      <x:c r="A31" s="2"/>
      <x:c r="B31" s="2"/>
      <x:c r="C31" s="74" t="str">
        <x:v>Neutral assessment</x:v>
      </x:c>
      <x:c r="D31" s="75" t="str">
        <x:v>Evidence supports a plausible path to profitability, but 2027 break-even depends on customer retention, pipeline conversion and completing compliance work without delaying sales.</x:v>
      </x:c>
      <x:c r="E31" s="75"/>
      <x:c r="F31" s="75"/>
      <x:c r="G31" s="75"/>
      <x:c r="H31" s="75"/>
      <x:c r="I31" s="75"/>
      <x:c r="J31" s="75"/>
      <x:c r="K31" s="75"/>
      <x:c r="L31" s="75"/>
      <x:c r="M31" s="75"/>
      <x:c r="N31" s="75"/>
      <x:c r="O31" s="75"/>
      <x:c r="P31" s="75"/>
      <x:c r="Q31" s="2"/>
    </x:row>
    <x:row r="32" ht="36" customHeight="1">
      <x:c r="A32" s="2"/>
      <x:c r="B32" s="2"/>
      <x:c r="C32" s="74" t="str">
        <x:v>Technology caveat</x:v>
      </x:c>
      <x:c r="D32" s="75" t="str">
        <x:v>Model benchmark improvements do not by themselves prove revenue or profit. Validate customer ROI, adoption, independent testing and ongoing model governance.</x:v>
      </x:c>
      <x:c r="E32" s="75"/>
      <x:c r="F32" s="75"/>
      <x:c r="G32" s="75"/>
      <x:c r="H32" s="75"/>
      <x:c r="I32" s="75"/>
      <x:c r="J32" s="75"/>
      <x:c r="K32" s="75"/>
      <x:c r="L32" s="75"/>
      <x:c r="M32" s="75"/>
      <x:c r="N32" s="75"/>
      <x:c r="O32" s="75"/>
      <x:c r="P32" s="75"/>
      <x:c r="Q32" s="2"/>
    </x:row>
    <x:row r="33" ht="36" customHeight="1">
      <x:c r="A33" s="2"/>
      <x:c r="B33" s="2"/>
      <x:c r="C33" s="74" t="str">
        <x:v>Key sensitivity</x:v>
      </x:c>
      <x:c r="D33" s="75" t="str">
        <x:v>Top-three concentration of 43.2% makes renewals and change-of-control consents directly material to valuation.</x:v>
      </x:c>
      <x:c r="E33" s="75"/>
      <x:c r="F33" s="75"/>
      <x:c r="G33" s="75"/>
      <x:c r="H33" s="75"/>
      <x:c r="I33" s="75"/>
      <x:c r="J33" s="75"/>
      <x:c r="K33" s="75"/>
      <x:c r="L33" s="75"/>
      <x:c r="M33" s="75"/>
      <x:c r="N33" s="75"/>
      <x:c r="O33" s="75"/>
      <x:c r="P33" s="75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</x:sheetData>
  <x:pageMargins left="0.7" right="0.7" top="0.75" bottom="0.75" header="0.3" footer="0.3"/>
  <x:drawing xmlns:r="http://schemas.openxmlformats.org/officeDocument/2006/relationships" r:id="R462825d2dc1946e2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18" hidden="0" customWidth="1"/>
    <x:col min="4" max="4" width="30" hidden="0" customWidth="1"/>
    <x:col min="5" max="5" width="9.329999923706055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2"/>
      <x:c r="B2" s="2"/>
      <x:c r="C2" s="3" t="str">
        <x:v>IP, Data, Legal and Compliance Review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/>
      <x:c r="B3" s="2"/>
      <x:c r="C3" s="4" t="str">
        <x:v>Issue spotting for deal conditions; specialist review remains required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/>
      <x:c r="B4" s="2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A5" s="2"/>
      <x:c r="B5" s="2"/>
      <x:c r="C5" s="8" t="str">
        <x:v>Risk register</x:v>
      </x:c>
      <x:c r="D5" s="9"/>
      <x:c r="E5" s="9"/>
      <x:c r="F5" s="9"/>
      <x:c r="G5" s="9"/>
      <x:c r="H5" s="9"/>
      <x:c r="I5" s="9"/>
      <x:c r="J5" s="10"/>
      <x:c r="K5" s="2"/>
      <x:c r="L5" s="2"/>
      <x:c r="M5" s="2"/>
      <x:c r="N5" s="2"/>
      <x:c r="O5" s="2"/>
      <x:c r="P5" s="2"/>
      <x:c r="Q5" s="2"/>
    </x:row>
    <x:row r="6">
      <x:c r="A6" s="2"/>
      <x:c r="B6" s="2"/>
      <x:c r="C6" s="16" t="str">
        <x:v>Area</x:v>
      </x:c>
      <x:c r="D6" s="17" t="str">
        <x:v>Issue</x:v>
      </x:c>
      <x:c r="E6" s="17" t="str">
        <x:v>Severity</x:v>
      </x:c>
      <x:c r="F6" s="17" t="str">
        <x:v>Evidence</x:v>
      </x:c>
      <x:c r="G6" s="17" t="str">
        <x:v>Required action</x:v>
      </x:c>
      <x:c r="H6" s="17" t="str">
        <x:v>Deal response</x:v>
      </x:c>
      <x:c r="I6" s="17" t="str">
        <x:v>Owner</x:v>
      </x:c>
      <x:c r="J6" s="18" t="str">
        <x:v>Status</x:v>
      </x:c>
      <x:c r="K6" s="2"/>
      <x:c r="L6" s="2"/>
      <x:c r="M6" s="2"/>
      <x:c r="N6" s="2"/>
      <x:c r="O6" s="2"/>
      <x:c r="P6" s="2"/>
      <x:c r="Q6" s="2"/>
    </x:row>
    <x:row r="7" ht="42" customHeight="1">
      <x:c r="A7" s="2"/>
      <x:c r="B7" s="2"/>
      <x:c r="C7" s="102" t="str">
        <x:v>Patent ownership</x:v>
      </x:c>
      <x:c r="D7" s="102" t="str">
        <x:v>QS-102 contractor assignment missing</x:v>
      </x:c>
      <x:c r="E7" s="102" t="str">
        <x:v>High</x:v>
      </x:c>
      <x:c r="F7" s="102" t="str">
        <x:v>assignment register + demand letter</x:v>
      </x:c>
      <x:c r="G7" s="102" t="str">
        <x:v>assignment and release</x:v>
      </x:c>
      <x:c r="H7" s="102" t="str">
        <x:v>$5m escrow condition</x:v>
      </x:c>
      <x:c r="I7" s="102" t="str">
        <x:v>Startup/Counsel</x:v>
      </x:c>
      <x:c r="J7" s="102" t="str">
        <x:v>Open</x:v>
      </x:c>
      <x:c r="K7" s="2"/>
      <x:c r="L7" s="2"/>
      <x:c r="M7" s="2"/>
      <x:c r="N7" s="2"/>
      <x:c r="O7" s="2"/>
      <x:c r="P7" s="2"/>
      <x:c r="Q7" s="2"/>
    </x:row>
    <x:row r="8" ht="42" customHeight="1">
      <x:c r="A8" s="2"/>
      <x:c r="B8" s="2"/>
      <x:c r="C8" s="103" t="str">
        <x:v>Inventorship</x:v>
      </x:c>
      <x:c r="D8" s="103" t="str">
        <x:v>contribution records require legal review</x:v>
      </x:c>
      <x:c r="E8" s="103" t="str">
        <x:v>Medium</x:v>
      </x:c>
      <x:c r="F8" s="103" t="str">
        <x:v>inventor files</x:v>
      </x:c>
      <x:c r="G8" s="103" t="str">
        <x:v>natural-person contribution review</x:v>
      </x:c>
      <x:c r="H8" s="103" t="str">
        <x:v>closing certificate</x:v>
      </x:c>
      <x:c r="I8" s="103" t="str">
        <x:v>IP Counsel</x:v>
      </x:c>
      <x:c r="J8" s="103" t="str">
        <x:v>Open</x:v>
      </x:c>
      <x:c r="K8" s="2"/>
      <x:c r="L8" s="2"/>
      <x:c r="M8" s="2"/>
      <x:c r="N8" s="2"/>
      <x:c r="O8" s="2"/>
      <x:c r="P8" s="2"/>
      <x:c r="Q8" s="2"/>
    </x:row>
    <x:row r="9" ht="42" customHeight="1">
      <x:c r="A9" s="2"/>
      <x:c r="B9" s="2"/>
      <x:c r="C9" s="103" t="str">
        <x:v>Trade secrets</x:v>
      </x:c>
      <x:c r="D9" s="103" t="str">
        <x:v>two employee assignments incomplete</x:v>
      </x:c>
      <x:c r="E9" s="103" t="str">
        <x:v>Medium-High</x:v>
      </x:c>
      <x:c r="F9" s="103" t="str">
        <x:v>HR/IP register</x:v>
      </x:c>
      <x:c r="G9" s="103" t="str">
        <x:v>confirmatory assignments</x:v>
      </x:c>
      <x:c r="H9" s="103" t="str">
        <x:v>pre-close covenant</x:v>
      </x:c>
      <x:c r="I9" s="103" t="str">
        <x:v>Startup</x:v>
      </x:c>
      <x:c r="J9" s="103" t="str">
        <x:v>Open</x:v>
      </x:c>
      <x:c r="K9" s="2"/>
      <x:c r="L9" s="2"/>
      <x:c r="M9" s="2"/>
      <x:c r="N9" s="2"/>
      <x:c r="O9" s="2"/>
      <x:c r="P9" s="2"/>
      <x:c r="Q9" s="2"/>
    </x:row>
    <x:row r="10" ht="42" customHeight="1">
      <x:c r="A10" s="2"/>
      <x:c r="B10" s="2"/>
      <x:c r="C10" s="103" t="str">
        <x:v>Training data</x:v>
      </x:c>
      <x:c r="D10" s="103" t="str">
        <x:v>FI-001 data used without training right</x:v>
      </x:c>
      <x:c r="E10" s="103" t="str">
        <x:v>Critical</x:v>
      </x:c>
      <x:c r="F10" s="103" t="str">
        <x:v>contract + lineage</x:v>
      </x:c>
      <x:c r="G10" s="103" t="str">
        <x:v>delete, retrain, validate</x:v>
      </x:c>
      <x:c r="H10" s="103" t="str">
        <x:v>closing condition</x:v>
      </x:c>
      <x:c r="I10" s="103" t="str">
        <x:v>Startup/Validator</x:v>
      </x:c>
      <x:c r="J10" s="103" t="str">
        <x:v>Open</x:v>
      </x:c>
      <x:c r="K10" s="2"/>
      <x:c r="L10" s="2"/>
      <x:c r="M10" s="2"/>
      <x:c r="N10" s="2"/>
      <x:c r="O10" s="2"/>
      <x:c r="P10" s="2"/>
      <x:c r="Q10" s="2"/>
    </x:row>
    <x:row r="11" ht="42" customHeight="1">
      <x:c r="A11" s="2"/>
      <x:c r="B11" s="2"/>
      <x:c r="C11" s="103" t="str">
        <x:v>Open source</x:v>
      </x:c>
      <x:c r="D11" s="103" t="str">
        <x:v>network-exposed AGPL component</x:v>
      </x:c>
      <x:c r="E11" s="103" t="str">
        <x:v>High</x:v>
      </x:c>
      <x:c r="F11" s="103" t="str">
        <x:v>SBOM</x:v>
      </x:c>
      <x:c r="G11" s="103" t="str">
        <x:v>replace or commercial license</x:v>
      </x:c>
      <x:c r="H11" s="103" t="str">
        <x:v>closing condition</x:v>
      </x:c>
      <x:c r="I11" s="103" t="str">
        <x:v>Startup CTO</x:v>
      </x:c>
      <x:c r="J11" s="103" t="str">
        <x:v>Open</x:v>
      </x:c>
      <x:c r="K11" s="2"/>
      <x:c r="L11" s="2"/>
      <x:c r="M11" s="2"/>
      <x:c r="N11" s="2"/>
      <x:c r="O11" s="2"/>
      <x:c r="P11" s="2"/>
      <x:c r="Q11" s="2"/>
    </x:row>
    <x:row r="12" ht="42" customHeight="1">
      <x:c r="A12" s="2"/>
      <x:c r="B12" s="2"/>
      <x:c r="C12" s="103" t="str">
        <x:v>Customer contracts</x:v>
      </x:c>
      <x:c r="D12" s="103" t="str">
        <x:v>three change-of-control consents</x:v>
      </x:c>
      <x:c r="E12" s="103" t="str">
        <x:v>High</x:v>
      </x:c>
      <x:c r="F12" s="103" t="str">
        <x:v>contract matrix</x:v>
      </x:c>
      <x:c r="G12" s="103" t="str">
        <x:v>obtain consents</x:v>
      </x:c>
      <x:c r="H12" s="103" t="str">
        <x:v>closing condition</x:v>
      </x:c>
      <x:c r="I12" s="103" t="str">
        <x:v>Startup CEO</x:v>
      </x:c>
      <x:c r="J12" s="103" t="str">
        <x:v>Open</x:v>
      </x:c>
      <x:c r="K12" s="2"/>
      <x:c r="L12" s="2"/>
      <x:c r="M12" s="2"/>
      <x:c r="N12" s="2"/>
      <x:c r="O12" s="2"/>
      <x:c r="P12" s="2"/>
      <x:c r="Q12" s="2"/>
    </x:row>
    <x:row r="13" ht="42" customHeight="1">
      <x:c r="A13" s="2"/>
      <x:c r="B13" s="2"/>
      <x:c r="C13" s="103" t="str">
        <x:v>Bank compliance</x:v>
      </x:c>
      <x:c r="D13" s="103" t="str">
        <x:v>some GLBA/provider terms incomplete</x:v>
      </x:c>
      <x:c r="E13" s="103" t="str">
        <x:v>Medium-High</x:v>
      </x:c>
      <x:c r="F13" s="103" t="str">
        <x:v>contract matrix</x:v>
      </x:c>
      <x:c r="G13" s="103" t="str">
        <x:v>amend contracts/control map</x:v>
      </x:c>
      <x:c r="H13" s="103" t="str">
        <x:v>post-close plan</x:v>
      </x:c>
      <x:c r="I13" s="103" t="str">
        <x:v>Both</x:v>
      </x:c>
      <x:c r="J13" s="103" t="str">
        <x:v>Open</x:v>
      </x:c>
      <x:c r="K13" s="2"/>
      <x:c r="L13" s="2"/>
      <x:c r="M13" s="2"/>
      <x:c r="N13" s="2"/>
      <x:c r="O13" s="2"/>
      <x:c r="P13" s="2"/>
      <x:c r="Q13" s="2"/>
    </x:row>
    <x:row r="14" ht="42" customHeight="1">
      <x:c r="A14" s="2"/>
      <x:c r="B14" s="2"/>
      <x:c r="C14" s="103" t="str">
        <x:v>Model risk/fair lending</x:v>
      </x:c>
      <x:c r="D14" s="103" t="str">
        <x:v>segment coverage incomplete</x:v>
      </x:c>
      <x:c r="E14" s="103" t="str">
        <x:v>Medium-High</x:v>
      </x:c>
      <x:c r="F14" s="103" t="str">
        <x:v>validation report</x:v>
      </x:c>
      <x:c r="G14" s="103" t="str">
        <x:v>broader independent validation</x:v>
      </x:c>
      <x:c r="H14" s="103" t="str">
        <x:v>operating covenant</x:v>
      </x:c>
      <x:c r="I14" s="103" t="str">
        <x:v>Buyer CRO</x:v>
      </x:c>
      <x:c r="J14" s="103" t="str">
        <x:v>Open</x:v>
      </x:c>
      <x:c r="K14" s="2"/>
      <x:c r="L14" s="2"/>
      <x:c r="M14" s="2"/>
      <x:c r="N14" s="2"/>
      <x:c r="O14" s="2"/>
      <x:c r="P14" s="2"/>
      <x:c r="Q14" s="2"/>
    </x:row>
    <x:row r="15" ht="42" customHeight="1">
      <x:c r="A15" s="2"/>
      <x:c r="B15" s="2"/>
      <x:c r="C15" s="103" t="str">
        <x:v>Marketing</x:v>
      </x:c>
      <x:c r="D15" s="103" t="str">
        <x:v>40% loss claim based on two pilots</x:v>
      </x:c>
      <x:c r="E15" s="103" t="str">
        <x:v>Medium</x:v>
      </x:c>
      <x:c r="F15" s="103" t="str">
        <x:v>substantiation file</x:v>
      </x:c>
      <x:c r="G15" s="103" t="str">
        <x:v>narrow claim</x:v>
      </x:c>
      <x:c r="H15" s="103" t="str">
        <x:v>pre-close covenant</x:v>
      </x:c>
      <x:c r="I15" s="103" t="str">
        <x:v>Startup</x:v>
      </x:c>
      <x:c r="J15" s="103" t="str">
        <x:v>Open</x:v>
      </x:c>
      <x:c r="K15" s="2"/>
      <x:c r="L15" s="2"/>
      <x:c r="M15" s="2"/>
      <x:c r="N15" s="2"/>
      <x:c r="O15" s="2"/>
      <x:c r="P15" s="2"/>
      <x:c r="Q15" s="2"/>
    </x:row>
    <x:row r="16" ht="42" customHeight="1">
      <x:c r="A16" s="2"/>
      <x:c r="B16" s="2"/>
      <x:c r="C16" s="104" t="str">
        <x:v>Cybersecurity</x:v>
      </x:c>
      <x:c r="D16" s="104" t="str">
        <x:v>one high and two medium findings</x:v>
      </x:c>
      <x:c r="E16" s="104" t="str">
        <x:v>Medium-High</x:v>
      </x:c>
      <x:c r="F16" s="104" t="str">
        <x:v>security assessment</x:v>
      </x:c>
      <x:c r="G16" s="104" t="str">
        <x:v>remediation plan</x:v>
      </x:c>
      <x:c r="H16" s="104" t="str">
        <x:v>holdback milestone</x:v>
      </x:c>
      <x:c r="I16" s="104" t="str">
        <x:v>Both</x:v>
      </x:c>
      <x:c r="J16" s="104" t="str">
        <x:v>Open</x:v>
      </x:c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A19" s="2"/>
      <x:c r="B19" s="2"/>
      <x:c r="C19" s="8" t="str">
        <x:v>Issue counts</x:v>
      </x:c>
      <x:c r="D19" s="9"/>
      <x:c r="E19" s="9"/>
      <x:c r="F19" s="10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>
      <x:c r="A20" s="2"/>
      <x:c r="B20" s="2"/>
      <x:c r="C20" s="16" t="str">
        <x:v>Category</x:v>
      </x:c>
      <x:c r="D20" s="18" t="str">
        <x:v>Count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>
      <x:c r="A21" s="2"/>
      <x:c r="B21" s="2"/>
      <x:c r="C21" s="19" t="str">
        <x:v>Critical</x:v>
      </x:c>
      <x:c r="D21" s="19" t="n">
        <x:f>COUNTIF(E7:E16,"Critical")</x:f>
        <x:v>1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>
      <x:c r="A22" s="2"/>
      <x:c r="B22" s="2"/>
      <x:c r="C22" s="20" t="str">
        <x:v>Contains High</x:v>
      </x:c>
      <x:c r="D22" s="20" t="n">
        <x:f>COUNTIF(E7:E16,"*High*")</x:f>
        <x:v>0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>
      <x:c r="A23" s="2"/>
      <x:c r="B23" s="2"/>
      <x:c r="C23" s="20" t="str">
        <x:v>Open</x:v>
      </x:c>
      <x:c r="D23" s="20" t="n">
        <x:f>COUNTIF(J7:J16,"Open")</x:f>
        <x:v>10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A24" s="2"/>
      <x:c r="B24" s="2"/>
      <x:c r="C24" s="21" t="str">
        <x:v>Required closing conditions</x:v>
      </x:c>
      <x:c r="D24" s="21" t="n">
        <x:v>4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38" customHeight="1">
      <x:c r="A27" s="2"/>
      <x:c r="B27" s="2"/>
      <x:c r="C27" s="74" t="str">
        <x:v>Conclusion</x:v>
      </x:c>
      <x:c r="D27" s="75" t="str">
        <x:v>No automatic deal stop is established by this demo. Four conditions should be resolved before close: QS-102 assignment, restricted-data remediation, AGPL remediation and three customer consents.</x:v>
      </x:c>
      <x:c r="E27" s="75"/>
      <x:c r="F27" s="75"/>
      <x:c r="G27" s="75"/>
      <x:c r="H27" s="75"/>
      <x:c r="I27" s="75"/>
      <x:c r="J27" s="75"/>
      <x:c r="K27" s="2"/>
      <x:c r="L27" s="2"/>
      <x:c r="M27" s="2"/>
      <x:c r="N27" s="2"/>
      <x:c r="O27" s="2"/>
      <x:c r="P27" s="2"/>
      <x:c r="Q27" s="2"/>
    </x:row>
    <x:row r="28" ht="38" customHeight="1">
      <x:c r="A28" s="2"/>
      <x:c r="B28" s="2"/>
      <x:c r="C28" s="74" t="str">
        <x:v>Important limitation</x:v>
      </x:c>
      <x:c r="D28" s="75" t="str">
        <x:v>The workbook does not determine patent validity, freedom to operate, inventorship, privacy compliance, fair-lending compliance or legal enforceability.</x:v>
      </x:c>
      <x:c r="E28" s="75"/>
      <x:c r="F28" s="75"/>
      <x:c r="G28" s="75"/>
      <x:c r="H28" s="75"/>
      <x:c r="I28" s="75"/>
      <x:c r="J28" s="75"/>
      <x:c r="K28" s="2"/>
      <x:c r="L28" s="2"/>
      <x:c r="M28" s="2"/>
      <x:c r="N28" s="2"/>
      <x:c r="O28" s="2"/>
      <x:c r="P28" s="2"/>
      <x:c r="Q28" s="2"/>
    </x:row>
    <x:row r="29" ht="38" customHeight="1">
      <x:c r="A29" s="2"/>
      <x:c r="B29" s="2"/>
      <x:c r="C29" s="74" t="str">
        <x:v>Risk allocation</x:v>
      </x:c>
      <x:c r="D29" s="75" t="str">
        <x:v>Use specialist review, conditions precedent, representations, escrow, indemnity and monitored remediation milestones rather than an unsupported binary pass/fail conclusion.</x:v>
      </x:c>
      <x:c r="E29" s="75"/>
      <x:c r="F29" s="75"/>
      <x:c r="G29" s="75"/>
      <x:c r="H29" s="75"/>
      <x:c r="I29" s="75"/>
      <x:c r="J29" s="75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</x:sheetData>
  <x:conditionalFormatting sqref="E7:E16">
    <x:cfRule type="containsText" dxfId="0" priority="1" operator="containsText" text="Critical"/>
    <x:cfRule type="containsText" dxfId="1" priority="2" operator="containsText" text="High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2"/>
      <x:c r="B2" s="2"/>
      <x:c r="C2" s="3" t="str">
        <x:v>HarborStone Counterparty Reliability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/>
      <x:c r="B3" s="2"/>
      <x:c r="C3" s="4" t="str">
        <x:v>Funding capacity, covenant headroom, integration history and seller protections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/>
      <x:c r="B4" s="2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A5" s="2"/>
      <x:c r="B5" s="2"/>
      <x:c r="C5" s="8" t="str">
        <x:v>Funding and covenant analysis</x:v>
      </x:c>
      <x:c r="D5" s="9"/>
      <x:c r="E5" s="9"/>
      <x:c r="F5" s="9"/>
      <x:c r="G5" s="9"/>
      <x:c r="H5" s="10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/>
      <x:c r="B6" s="2"/>
      <x:c r="C6" s="16" t="str">
        <x:v>Metric</x:v>
      </x:c>
      <x:c r="D6" s="17" t="str">
        <x:v>Value</x:v>
      </x:c>
      <x:c r="E6" s="17" t="str">
        <x:v>Unit</x:v>
      </x:c>
      <x:c r="F6" s="17" t="str">
        <x:v>Threshold / need</x:v>
      </x:c>
      <x:c r="G6" s="17" t="str">
        <x:v>Headroom</x:v>
      </x:c>
      <x:c r="H6" s="18" t="str">
        <x:v>Assessment</x:v>
      </x:c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/>
      <x:c r="B7" s="2"/>
      <x:c r="C7" s="19" t="str">
        <x:v>Cash + available commitments</x:v>
      </x:c>
      <x:c r="D7" s="67" t="n">
        <x:f>SUM(Inputs!D33:D35)</x:f>
        <x:v>375</x:v>
      </x:c>
      <x:c r="E7" s="78" t="str">
        <x:v>$m</x:v>
      </x:c>
      <x:c r="F7" s="19" t="n">
        <x:v>87</x:v>
      </x:c>
      <x:c r="G7" s="78" t="n">
        <x:f>D7-F7</x:f>
        <x:v>288</x:v>
      </x:c>
      <x:c r="H7" s="19" t="str">
        <x:v>funding coverage</x:v>
      </x:c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"/>
      <x:c r="B8" s="2"/>
      <x:c r="C8" s="20" t="str">
        <x:v>Cash at close + escrow</x:v>
      </x:c>
      <x:c r="D8" s="70" t="n">
        <x:f>SUM(Inputs!D37:D38)</x:f>
        <x:v>87</x:v>
      </x:c>
      <x:c r="E8" s="79" t="str">
        <x:v>$m</x:v>
      </x:c>
      <x:c r="F8" s="20" t="n">
        <x:v>87</x:v>
      </x:c>
      <x:c r="G8" s="79" t="n">
        <x:f>D8-F8</x:f>
        <x:v>0</x:v>
      </x:c>
      <x:c r="H8" s="20" t="str">
        <x:v>uses</x:v>
      </x:c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2"/>
      <x:c r="B9" s="2"/>
      <x:c r="C9" s="20" t="str">
        <x:v>Funding coverage</x:v>
      </x:c>
      <x:c r="D9" s="105" t="n">
        <x:f>D7/D8</x:f>
        <x:v>4.310344827586207</x:v>
      </x:c>
      <x:c r="E9" s="107" t="str">
        <x:v>x</x:v>
      </x:c>
      <x:c r="F9" s="20" t="n">
        <x:v>1</x:v>
      </x:c>
      <x:c r="G9" s="107" t="n">
        <x:f>D9-F9</x:f>
        <x:v>3.3103448275862073</x:v>
      </x:c>
      <x:c r="H9" s="20" t="str">
        <x:v>above required uses</x:v>
      </x:c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2"/>
      <x:c r="B10" s="2"/>
      <x:c r="C10" s="20" t="str">
        <x:v>Pro forma net leverage</x:v>
      </x:c>
      <x:c r="D10" s="105" t="n">
        <x:f>Inputs!D39</x:f>
        <x:v>2.78</x:v>
      </x:c>
      <x:c r="E10" s="107" t="str">
        <x:v>x</x:v>
      </x:c>
      <x:c r="F10" s="20"/>
      <x:c r="G10" s="107" t="n">
        <x:f>D11-D10</x:f>
        <x:v>1.2200000000000002</x:v>
      </x:c>
      <x:c r="H10" s="20" t="str">
        <x:v>below covenant</x:v>
      </x:c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2"/>
      <x:c r="B11" s="2"/>
      <x:c r="C11" s="20" t="str">
        <x:v>Net leverage covenant</x:v>
      </x:c>
      <x:c r="D11" s="105" t="n">
        <x:f>Inputs!D40</x:f>
        <x:v>4</x:v>
      </x:c>
      <x:c r="E11" s="107" t="str">
        <x:v>x max</x:v>
      </x:c>
      <x:c r="F11" s="20"/>
      <x:c r="G11" s="107" t="n">
        <x:f>D11-D10</x:f>
        <x:v>1.2200000000000002</x:v>
      </x:c>
      <x:c r="H11" s="20" t="str">
        <x:v>limit</x:v>
      </x:c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"/>
      <x:c r="B12" s="2"/>
      <x:c r="C12" s="20" t="str">
        <x:v>Leverage headroom</x:v>
      </x:c>
      <x:c r="D12" s="105" t="n">
        <x:f>D11-D10</x:f>
        <x:v>1.2200000000000002</x:v>
      </x:c>
      <x:c r="E12" s="107" t="str">
        <x:v>x</x:v>
      </x:c>
      <x:c r="F12" s="20" t="n">
        <x:v>0</x:v>
      </x:c>
      <x:c r="G12" s="107" t="n">
        <x:f>D11-D10</x:f>
        <x:v>1.2200000000000002</x:v>
      </x:c>
      <x:c r="H12" s="20" t="str">
        <x:v>positive</x:v>
      </x:c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"/>
      <x:c r="B13" s="2"/>
      <x:c r="C13" s="21" t="str">
        <x:v>2025 free cash flow</x:v>
      </x:c>
      <x:c r="D13" s="106" t="n">
        <x:f>58</x:f>
        <x:v>58</x:v>
      </x:c>
      <x:c r="E13" s="21" t="str">
        <x:v>$m</x:v>
      </x:c>
      <x:c r="F13" s="21" t="n">
        <x:v>0</x:v>
      </x:c>
      <x:c r="G13" s="80" t="n">
        <x:f>D13-F13</x:f>
        <x:v>58</x:v>
      </x:c>
      <x:c r="H13" s="21" t="str">
        <x:v>positive cash generation</x:v>
      </x:c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A16" s="2"/>
      <x:c r="B16" s="2"/>
      <x:c r="C16" s="8" t="str">
        <x:v>Reliability evidence and risk allocation</x:v>
      </x:c>
      <x:c r="D16" s="9"/>
      <x:c r="E16" s="9"/>
      <x:c r="F16" s="9"/>
      <x:c r="G16" s="9"/>
      <x:c r="H16" s="9"/>
      <x:c r="I16" s="9"/>
      <x:c r="J16" s="10"/>
      <x:c r="K16" s="2"/>
      <x:c r="L16" s="2"/>
      <x:c r="M16" s="2"/>
      <x:c r="N16" s="2"/>
      <x:c r="O16" s="2"/>
      <x:c r="P16" s="2"/>
      <x:c r="Q16" s="2"/>
    </x:row>
    <x:row r="17">
      <x:c r="A17" s="2"/>
      <x:c r="B17" s="2"/>
      <x:c r="C17" s="16" t="str">
        <x:v>Area</x:v>
      </x:c>
      <x:c r="D17" s="17" t="str">
        <x:v>Positive evidence</x:v>
      </x:c>
      <x:c r="E17" s="17" t="str">
        <x:v>Adverse evidence</x:v>
      </x:c>
      <x:c r="F17" s="17" t="str">
        <x:v>Materiality</x:v>
      </x:c>
      <x:c r="G17" s="17" t="str">
        <x:v>Seller protection</x:v>
      </x:c>
      <x:c r="H17" s="17" t="str">
        <x:v>Owner</x:v>
      </x:c>
      <x:c r="I17" s="17" t="str">
        <x:v>Timing</x:v>
      </x:c>
      <x:c r="J17" s="18" t="str">
        <x:v>Status</x:v>
      </x:c>
      <x:c r="K17" s="2"/>
      <x:c r="L17" s="2"/>
      <x:c r="M17" s="2"/>
      <x:c r="N17" s="2"/>
      <x:c r="O17" s="2"/>
      <x:c r="P17" s="2"/>
      <x:c r="Q17" s="2"/>
    </x:row>
    <x:row r="18" ht="42" customHeight="1">
      <x:c r="A18" s="2"/>
      <x:c r="B18" s="2"/>
      <x:c r="C18" s="102" t="str">
        <x:v>Funding</x:v>
      </x:c>
      <x:c r="D18" s="102" t="str">
        <x:v>4.3x coverage; committed facility</x:v>
      </x:c>
      <x:c r="E18" s="102" t="str">
        <x:v>facility conditions and expiry</x:v>
      </x:c>
      <x:c r="F18" s="102" t="str">
        <x:v>High</x:v>
      </x:c>
      <x:c r="G18" s="102" t="str">
        <x:v>funding certificate</x:v>
      </x:c>
      <x:c r="H18" s="102" t="str">
        <x:v>Buyer CFO</x:v>
      </x:c>
      <x:c r="I18" s="102" t="str">
        <x:v>signing/close</x:v>
      </x:c>
      <x:c r="J18" s="102" t="str">
        <x:v>Required</x:v>
      </x:c>
      <x:c r="K18" s="2"/>
      <x:c r="L18" s="2"/>
      <x:c r="M18" s="2"/>
      <x:c r="N18" s="2"/>
      <x:c r="O18" s="2"/>
      <x:c r="P18" s="2"/>
      <x:c r="Q18" s="2"/>
    </x:row>
    <x:row r="19" ht="42" customHeight="1">
      <x:c r="A19" s="2"/>
      <x:c r="B19" s="2"/>
      <x:c r="C19" s="103" t="str">
        <x:v>Leverage</x:v>
      </x:c>
      <x:c r="D19" s="103" t="str">
        <x:v>2.78x vs 4.0x limit</x:v>
      </x:c>
      <x:c r="E19" s="103" t="str">
        <x:v>pro forma depends on final uses</x:v>
      </x:c>
      <x:c r="F19" s="103" t="str">
        <x:v>Medium</x:v>
      </x:c>
      <x:c r="G19" s="103" t="str">
        <x:v>bring-down certificate</x:v>
      </x:c>
      <x:c r="H19" s="103" t="str">
        <x:v>Buyer CFO</x:v>
      </x:c>
      <x:c r="I19" s="103" t="str">
        <x:v>close</x:v>
      </x:c>
      <x:c r="J19" s="103" t="str">
        <x:v>Required</x:v>
      </x:c>
      <x:c r="K19" s="2"/>
      <x:c r="L19" s="2"/>
      <x:c r="M19" s="2"/>
      <x:c r="N19" s="2"/>
      <x:c r="O19" s="2"/>
      <x:c r="P19" s="2"/>
      <x:c r="Q19" s="2"/>
    </x:row>
    <x:row r="20" ht="42" customHeight="1">
      <x:c r="A20" s="2"/>
      <x:c r="B20" s="2"/>
      <x:c r="C20" s="103" t="str">
        <x:v>Cash generation</x:v>
      </x:c>
      <x:c r="D20" s="103" t="str">
        <x:v>three years positive FCF</x:v>
      </x:c>
      <x:c r="E20" s="103" t="str">
        <x:v>financial-services cycle exposure</x:v>
      </x:c>
      <x:c r="F20" s="103" t="str">
        <x:v>Medium</x:v>
      </x:c>
      <x:c r="G20" s="103" t="str">
        <x:v>parent guarantee</x:v>
      </x:c>
      <x:c r="H20" s="103" t="str">
        <x:v>Buyer Board</x:v>
      </x:c>
      <x:c r="I20" s="103" t="str">
        <x:v>signing</x:v>
      </x:c>
      <x:c r="J20" s="103" t="str">
        <x:v>Required</x:v>
      </x:c>
      <x:c r="K20" s="2"/>
      <x:c r="L20" s="2"/>
      <x:c r="M20" s="2"/>
      <x:c r="N20" s="2"/>
      <x:c r="O20" s="2"/>
      <x:c r="P20" s="2"/>
      <x:c r="Q20" s="2"/>
    </x:row>
    <x:row r="21" ht="42" customHeight="1">
      <x:c r="A21" s="2"/>
      <x:c r="B21" s="2"/>
      <x:c r="C21" s="103" t="str">
        <x:v>Integration</x:v>
      </x:c>
      <x:c r="D21" s="103" t="str">
        <x:v>two acquisitions completed</x:v>
      </x:c>
      <x:c r="E21" s="103" t="str">
        <x:v>both exceeded budget</x:v>
      </x:c>
      <x:c r="F21" s="103" t="str">
        <x:v>High</x:v>
      </x:c>
      <x:c r="G21" s="103" t="str">
        <x:v>minimum staffing and budget</x:v>
      </x:c>
      <x:c r="H21" s="103" t="str">
        <x:v>Buyer COO</x:v>
      </x:c>
      <x:c r="I21" s="103" t="str">
        <x:v>earnout</x:v>
      </x:c>
      <x:c r="J21" s="103" t="str">
        <x:v>Required</x:v>
      </x:c>
      <x:c r="K21" s="2"/>
      <x:c r="L21" s="2"/>
      <x:c r="M21" s="2"/>
      <x:c r="N21" s="2"/>
      <x:c r="O21" s="2"/>
      <x:c r="P21" s="2"/>
      <x:c r="Q21" s="2"/>
    </x:row>
    <x:row r="22" ht="42" customHeight="1">
      <x:c r="A22" s="2"/>
      <x:c r="B22" s="2"/>
      <x:c r="C22" s="103" t="str">
        <x:v>Founder retention</x:v>
      </x:c>
      <x:c r="D22" s="103" t="str">
        <x:v>one result 88%</x:v>
      </x:c>
      <x:c r="E22" s="103" t="str">
        <x:v>one result 71%</x:v>
      </x:c>
      <x:c r="F22" s="103" t="str">
        <x:v>High</x:v>
      </x:c>
      <x:c r="G22" s="103" t="str">
        <x:v>retention pool outside EV</x:v>
      </x:c>
      <x:c r="H22" s="103" t="str">
        <x:v>Both</x:v>
      </x:c>
      <x:c r="I22" s="103" t="str">
        <x:v>close</x:v>
      </x:c>
      <x:c r="J22" s="103" t="str">
        <x:v>Required</x:v>
      </x:c>
      <x:c r="K22" s="2"/>
      <x:c r="L22" s="2"/>
      <x:c r="M22" s="2"/>
      <x:c r="N22" s="2"/>
      <x:c r="O22" s="2"/>
      <x:c r="P22" s="2"/>
      <x:c r="Q22" s="2"/>
    </x:row>
    <x:row r="23" ht="42" customHeight="1">
      <x:c r="A23" s="2"/>
      <x:c r="B23" s="2"/>
      <x:c r="C23" s="103" t="str">
        <x:v>Regulatory</x:v>
      </x:c>
      <x:c r="D23" s="103" t="str">
        <x:v>no identified transaction block</x:v>
      </x:c>
      <x:c r="E23" s="103" t="str">
        <x:v>complaint remediation remains open</x:v>
      </x:c>
      <x:c r="F23" s="103" t="str">
        <x:v>Medium-High</x:v>
      </x:c>
      <x:c r="G23" s="103" t="str">
        <x:v>roadmap governance</x:v>
      </x:c>
      <x:c r="H23" s="103" t="str">
        <x:v>Buyer CRO</x:v>
      </x:c>
      <x:c r="I23" s="103" t="str">
        <x:v>ongoing</x:v>
      </x:c>
      <x:c r="J23" s="103" t="str">
        <x:v>Monitor</x:v>
      </x:c>
      <x:c r="K23" s="2"/>
      <x:c r="L23" s="2"/>
      <x:c r="M23" s="2"/>
      <x:c r="N23" s="2"/>
      <x:c r="O23" s="2"/>
      <x:c r="P23" s="2"/>
      <x:c r="Q23" s="2"/>
    </x:row>
    <x:row r="24" ht="42" customHeight="1">
      <x:c r="A24" s="2"/>
      <x:c r="B24" s="2"/>
      <x:c r="C24" s="104" t="str">
        <x:v>Earnout control</x:v>
      </x:c>
      <x:c r="D24" s="104" t="str">
        <x:v>buyer can provide distribution</x:v>
      </x:c>
      <x:c r="E24" s="104" t="str">
        <x:v>buyer controls pricing/resources</x:v>
      </x:c>
      <x:c r="F24" s="104" t="str">
        <x:v>High</x:v>
      </x:c>
      <x:c r="G24" s="104" t="str">
        <x:v>audit rights + acceleration</x:v>
      </x:c>
      <x:c r="H24" s="104" t="str">
        <x:v>Both</x:v>
      </x:c>
      <x:c r="I24" s="104" t="str">
        <x:v>agreement</x:v>
      </x:c>
      <x:c r="J24" s="104" t="str">
        <x:v>Required</x:v>
      </x:c>
      <x:c r="K24" s="2"/>
      <x:c r="L24" s="2"/>
      <x:c r="M24" s="2"/>
      <x:c r="N24" s="2"/>
      <x:c r="O24" s="2"/>
      <x:c r="P24" s="2"/>
      <x:c r="Q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38" customHeight="1">
      <x:c r="A27" s="2"/>
      <x:c r="B27" s="2"/>
      <x:c r="C27" s="74" t="str">
        <x:v>Conclusion</x:v>
      </x:c>
      <x:c r="D27" s="75" t="str">
        <x:v>Financeable with contractual protections. Available resources and covenant headroom support closing, but operational and earnout risks remain material.</x:v>
      </x:c>
      <x:c r="E27" s="75"/>
      <x:c r="F27" s="75"/>
      <x:c r="G27" s="75"/>
      <x:c r="H27" s="75"/>
      <x:c r="I27" s="75"/>
      <x:c r="J27" s="75"/>
      <x:c r="K27" s="2"/>
      <x:c r="L27" s="2"/>
      <x:c r="M27" s="2"/>
      <x:c r="N27" s="2"/>
      <x:c r="O27" s="2"/>
      <x:c r="P27" s="2"/>
      <x:c r="Q27" s="2"/>
    </x:row>
    <x:row r="28" ht="38" customHeight="1">
      <x:c r="A28" s="2"/>
      <x:c r="B28" s="2"/>
      <x:c r="C28" s="74" t="str">
        <x:v>Do not say</x:v>
      </x:c>
      <x:c r="D28" s="75" t="str">
        <x:v>Do not describe HarborStone as risk-free or guarantee that financing, regulatory non-objection, integration or earnout payment will occur.</x:v>
      </x:c>
      <x:c r="E28" s="75"/>
      <x:c r="F28" s="75"/>
      <x:c r="G28" s="75"/>
      <x:c r="H28" s="75"/>
      <x:c r="I28" s="75"/>
      <x:c r="J28" s="75"/>
      <x:c r="K28" s="2"/>
      <x:c r="L28" s="2"/>
      <x:c r="M28" s="2"/>
      <x:c r="N28" s="2"/>
      <x:c r="O28" s="2"/>
      <x:c r="P28" s="2"/>
      <x:c r="Q28" s="2"/>
    </x:row>
    <x:row r="29" ht="38" customHeight="1">
      <x:c r="A29" s="2"/>
      <x:c r="B29" s="2"/>
      <x:c r="C29" s="74" t="str">
        <x:v>Recommended protections</x:v>
      </x:c>
      <x:c r="D29" s="75" t="str">
        <x:v>Funding certificate, parent guarantee, escrow, audit rights, objective metrics, staffing covenants and acceleration on product sunset or material breach.</x:v>
      </x:c>
      <x:c r="E29" s="75"/>
      <x:c r="F29" s="75"/>
      <x:c r="G29" s="75"/>
      <x:c r="H29" s="75"/>
      <x:c r="I29" s="75"/>
      <x:c r="J29" s="75"/>
      <x:c r="K29" s="2"/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2"/>
      <x:c r="B2" s="2"/>
      <x:c r="C2" s="3" t="str">
        <x:v>Model Inputs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/>
      <x:c r="B3" s="2"/>
      <x:c r="C3" s="4" t="str">
        <x:v>Synthetic transaction data | USD millions unless stated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/>
      <x:c r="B4" s="2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A5" s="2"/>
      <x:c r="B5" s="2"/>
      <x:c r="C5" s="8" t="str">
        <x:v>QuantaShield financial history and forecast</x:v>
      </x:c>
      <x:c r="D5" s="9"/>
      <x:c r="E5" s="9"/>
      <x:c r="F5" s="9"/>
      <x:c r="G5" s="9"/>
      <x:c r="H5" s="9"/>
      <x:c r="I5" s="10"/>
      <x:c r="J5" s="2"/>
      <x:c r="K5" s="8" t="str">
        <x:v>Valuation assumptions</x:v>
      </x:c>
      <x:c r="L5" s="9"/>
      <x:c r="M5" s="9"/>
      <x:c r="N5" s="10"/>
      <x:c r="O5" s="2"/>
      <x:c r="P5" s="2"/>
      <x:c r="Q5" s="2"/>
    </x:row>
    <x:row r="6">
      <x:c r="A6" s="2"/>
      <x:c r="B6" s="2"/>
      <x:c r="C6" s="16" t="str">
        <x:v>Period</x:v>
      </x:c>
      <x:c r="D6" s="17" t="str">
        <x:v>Revenue</x:v>
      </x:c>
      <x:c r="E6" s="17" t="str">
        <x:v>Ending ARR</x:v>
      </x:c>
      <x:c r="F6" s="17" t="str">
        <x:v>Gross margin</x:v>
      </x:c>
      <x:c r="G6" s="17" t="str">
        <x:v>EBITDA</x:v>
      </x:c>
      <x:c r="H6" s="17" t="str">
        <x:v>Free cash flow</x:v>
      </x:c>
      <x:c r="I6" s="18" t="str">
        <x:v>Cash</x:v>
      </x:c>
      <x:c r="J6" s="2"/>
      <x:c r="K6" s="16" t="str">
        <x:v>Driver</x:v>
      </x:c>
      <x:c r="L6" s="17" t="str">
        <x:v>Low / Value</x:v>
      </x:c>
      <x:c r="M6" s="17" t="str">
        <x:v>High</x:v>
      </x:c>
      <x:c r="N6" s="18" t="str">
        <x:v>Unit</x:v>
      </x:c>
      <x:c r="O6" s="2"/>
      <x:c r="P6" s="2"/>
      <x:c r="Q6" s="2"/>
    </x:row>
    <x:row r="7">
      <x:c r="A7" s="2"/>
      <x:c r="B7" s="2"/>
      <x:c r="C7" s="19" t="str">
        <x:v>2023A</x:v>
      </x:c>
      <x:c r="D7" s="25" t="n">
        <x:v>3.1</x:v>
      </x:c>
      <x:c r="E7" s="25" t="n">
        <x:v>3.8</x:v>
      </x:c>
      <x:c r="F7" s="28" t="n">
        <x:v>0.68</x:v>
      </x:c>
      <x:c r="G7" s="31" t="n">
        <x:v>-7.8</x:v>
      </x:c>
      <x:c r="H7" s="31" t="n">
        <x:v>-8.4</x:v>
      </x:c>
      <x:c r="I7" s="31" t="n">
        <x:v>17</x:v>
      </x:c>
      <x:c r="J7" s="2"/>
      <x:c r="K7" s="19" t="str">
        <x:v>2025 ending ARR</x:v>
      </x:c>
      <x:c r="L7" s="40" t="n">
        <x:v>11.8</x:v>
      </x:c>
      <x:c r="M7" s="40"/>
      <x:c r="N7" s="19" t="str">
        <x:v>$m</x:v>
      </x:c>
      <x:c r="O7" s="2"/>
      <x:c r="P7" s="2"/>
      <x:c r="Q7" s="2"/>
    </x:row>
    <x:row r="8">
      <x:c r="A8" s="2"/>
      <x:c r="B8" s="2"/>
      <x:c r="C8" s="20" t="str">
        <x:v>2024A</x:v>
      </x:c>
      <x:c r="D8" s="26" t="n">
        <x:v>6.4</x:v>
      </x:c>
      <x:c r="E8" s="26" t="n">
        <x:v>6.7</x:v>
      </x:c>
      <x:c r="F8" s="29" t="n">
        <x:v>0.72</x:v>
      </x:c>
      <x:c r="G8" s="32" t="n">
        <x:v>-6.6</x:v>
      </x:c>
      <x:c r="H8" s="32" t="n">
        <x:v>-7.1</x:v>
      </x:c>
      <x:c r="I8" s="32" t="n">
        <x:v>12.8</x:v>
      </x:c>
      <x:c r="J8" s="2"/>
      <x:c r="K8" s="20" t="str">
        <x:v>2026E revenue</x:v>
      </x:c>
      <x:c r="L8" s="41" t="n">
        <x:v>16.5</x:v>
      </x:c>
      <x:c r="M8" s="41"/>
      <x:c r="N8" s="20" t="str">
        <x:v>$m</x:v>
      </x:c>
      <x:c r="O8" s="2"/>
      <x:c r="P8" s="2"/>
      <x:c r="Q8" s="2"/>
    </x:row>
    <x:row r="9">
      <x:c r="A9" s="2"/>
      <x:c r="B9" s="2"/>
      <x:c r="C9" s="20" t="str">
        <x:v>2025A</x:v>
      </x:c>
      <x:c r="D9" s="26" t="n">
        <x:v>10.6</x:v>
      </x:c>
      <x:c r="E9" s="26" t="n">
        <x:v>11.8</x:v>
      </x:c>
      <x:c r="F9" s="29" t="n">
        <x:v>0.76</x:v>
      </x:c>
      <x:c r="G9" s="32" t="n">
        <x:v>-5.2</x:v>
      </x:c>
      <x:c r="H9" s="32" t="n">
        <x:v>-6.2</x:v>
      </x:c>
      <x:c r="I9" s="32" t="n">
        <x:v>8.4</x:v>
      </x:c>
      <x:c r="J9" s="2"/>
      <x:c r="K9" s="20" t="str">
        <x:v>ARR multiple</x:v>
      </x:c>
      <x:c r="L9" s="38" t="n">
        <x:v>5.5</x:v>
      </x:c>
      <x:c r="M9" s="38" t="n">
        <x:v>7.5</x:v>
      </x:c>
      <x:c r="N9" s="20" t="str">
        <x:v>x</x:v>
      </x:c>
      <x:c r="O9" s="2"/>
      <x:c r="P9" s="2"/>
      <x:c r="Q9" s="2"/>
    </x:row>
    <x:row r="10">
      <x:c r="A10" s="2"/>
      <x:c r="B10" s="2"/>
      <x:c r="C10" s="20" t="str">
        <x:v>2026E</x:v>
      </x:c>
      <x:c r="D10" s="26" t="n">
        <x:v>16.5</x:v>
      </x:c>
      <x:c r="E10" s="26" t="n">
        <x:v>18.2</x:v>
      </x:c>
      <x:c r="F10" s="29" t="n">
        <x:v>0.79</x:v>
      </x:c>
      <x:c r="G10" s="32" t="n">
        <x:v>-2.1</x:v>
      </x:c>
      <x:c r="H10" s="32" t="n">
        <x:v>-4</x:v>
      </x:c>
      <x:c r="I10" s="32" t="n">
        <x:v>4.4</x:v>
      </x:c>
      <x:c r="J10" s="2"/>
      <x:c r="K10" s="20" t="str">
        <x:v>Forward revenue multiple</x:v>
      </x:c>
      <x:c r="L10" s="38" t="n">
        <x:v>5</x:v>
      </x:c>
      <x:c r="M10" s="38" t="n">
        <x:v>7</x:v>
      </x:c>
      <x:c r="N10" s="20" t="str">
        <x:v>x</x:v>
      </x:c>
      <x:c r="O10" s="2"/>
      <x:c r="P10" s="2"/>
      <x:c r="Q10" s="2"/>
    </x:row>
    <x:row r="11">
      <x:c r="A11" s="2"/>
      <x:c r="B11" s="2"/>
      <x:c r="C11" s="20" t="str">
        <x:v>2027E</x:v>
      </x:c>
      <x:c r="D11" s="26" t="n">
        <x:v>25</x:v>
      </x:c>
      <x:c r="E11" s="26" t="n">
        <x:v>27.2</x:v>
      </x:c>
      <x:c r="F11" s="29" t="n">
        <x:v>0.81</x:v>
      </x:c>
      <x:c r="G11" s="32" t="n">
        <x:v>2.8</x:v>
      </x:c>
      <x:c r="H11" s="32" t="n">
        <x:v>0.5</x:v>
      </x:c>
      <x:c r="I11" s="32" t="n">
        <x:v>4.9</x:v>
      </x:c>
      <x:c r="J11" s="2"/>
      <x:c r="K11" s="20" t="str">
        <x:v>Discount rate</x:v>
      </x:c>
      <x:c r="L11" s="39" t="n">
        <x:v>0.18</x:v>
      </x:c>
      <x:c r="M11" s="39"/>
      <x:c r="N11" s="20" t="str">
        <x:v>%</x:v>
      </x:c>
      <x:c r="O11" s="2"/>
      <x:c r="P11" s="2"/>
      <x:c r="Q11" s="2"/>
    </x:row>
    <x:row r="12">
      <x:c r="A12" s="2"/>
      <x:c r="B12" s="2"/>
      <x:c r="C12" s="20" t="str">
        <x:v>2028E</x:v>
      </x:c>
      <x:c r="D12" s="26" t="n">
        <x:v>35</x:v>
      </x:c>
      <x:c r="E12" s="26" t="n">
        <x:v>37.5</x:v>
      </x:c>
      <x:c r="F12" s="29" t="n">
        <x:v>0.82</x:v>
      </x:c>
      <x:c r="G12" s="32" t="n">
        <x:v>8.4</x:v>
      </x:c>
      <x:c r="H12" s="32" t="n">
        <x:v>5.5</x:v>
      </x:c>
      <x:c r="I12" s="32" t="n">
        <x:v>10.4</x:v>
      </x:c>
      <x:c r="J12" s="2"/>
      <x:c r="K12" s="20" t="str">
        <x:v>Terminal growth</x:v>
      </x:c>
      <x:c r="L12" s="39" t="n">
        <x:v>0.035</x:v>
      </x:c>
      <x:c r="M12" s="39"/>
      <x:c r="N12" s="20" t="str">
        <x:v>%</x:v>
      </x:c>
      <x:c r="O12" s="2"/>
      <x:c r="P12" s="2"/>
      <x:c r="Q12" s="2"/>
    </x:row>
    <x:row r="13">
      <x:c r="A13" s="2"/>
      <x:c r="B13" s="2"/>
      <x:c r="C13" s="20" t="str">
        <x:v>2029E</x:v>
      </x:c>
      <x:c r="D13" s="26" t="n">
        <x:v>45</x:v>
      </x:c>
      <x:c r="E13" s="26" t="n">
        <x:v>47.8</x:v>
      </x:c>
      <x:c r="F13" s="29" t="n">
        <x:v>0.83</x:v>
      </x:c>
      <x:c r="G13" s="32" t="n">
        <x:v>13.8</x:v>
      </x:c>
      <x:c r="H13" s="32" t="n">
        <x:v>9</x:v>
      </x:c>
      <x:c r="I13" s="32" t="n">
        <x:v>19.4</x:v>
      </x:c>
      <x:c r="J13" s="2"/>
      <x:c r="K13" s="20" t="str">
        <x:v>ARR method weight</x:v>
      </x:c>
      <x:c r="L13" s="39" t="n">
        <x:v>0.25</x:v>
      </x:c>
      <x:c r="M13" s="39"/>
      <x:c r="N13" s="20" t="str">
        <x:v>%</x:v>
      </x:c>
      <x:c r="O13" s="2"/>
      <x:c r="P13" s="2"/>
      <x:c r="Q13" s="2"/>
    </x:row>
    <x:row r="14">
      <x:c r="A14" s="2"/>
      <x:c r="B14" s="2"/>
      <x:c r="C14" s="21" t="str">
        <x:v>2030E</x:v>
      </x:c>
      <x:c r="D14" s="27" t="n">
        <x:v>55</x:v>
      </x:c>
      <x:c r="E14" s="27" t="n">
        <x:v>58</x:v>
      </x:c>
      <x:c r="F14" s="30" t="n">
        <x:v>0.83</x:v>
      </x:c>
      <x:c r="G14" s="33" t="n">
        <x:v>18.7</x:v>
      </x:c>
      <x:c r="H14" s="33" t="n">
        <x:v>12.5</x:v>
      </x:c>
      <x:c r="I14" s="33" t="n">
        <x:v>31.9</x:v>
      </x:c>
      <x:c r="J14" s="2"/>
      <x:c r="K14" s="20" t="str">
        <x:v>Forward revenue weight</x:v>
      </x:c>
      <x:c r="L14" s="39" t="n">
        <x:v>0.5</x:v>
      </x:c>
      <x:c r="M14" s="39"/>
      <x:c r="N14" s="20" t="str">
        <x:v>%</x:v>
      </x:c>
      <x:c r="O14" s="2"/>
      <x:c r="P14" s="2"/>
      <x:c r="Q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0" t="str">
        <x:v>DCF weight</x:v>
      </x:c>
      <x:c r="L15" s="39" t="n">
        <x:v>0.25</x:v>
      </x:c>
      <x:c r="M15" s="39"/>
      <x:c r="N15" s="20" t="str">
        <x:v>%</x:v>
      </x:c>
      <x:c r="O15" s="2"/>
      <x:c r="P15" s="2"/>
      <x:c r="Q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0" t="str">
        <x:v>Buyer initial headline EV</x:v>
      </x:c>
      <x:c r="L16" s="41" t="n">
        <x:v>90</x:v>
      </x:c>
      <x:c r="M16" s="41"/>
      <x:c r="N16" s="20" t="str">
        <x:v>$m</x:v>
      </x:c>
      <x:c r="O16" s="2"/>
      <x:c r="P16" s="2"/>
      <x:c r="Q16" s="2"/>
    </x:row>
    <x:row r="17">
      <x:c r="A17" s="2"/>
      <x:c r="B17" s="2"/>
      <x:c r="C17" s="8" t="str">
        <x:v>Commercial assumptions and approved metrics</x:v>
      </x:c>
      <x:c r="D17" s="9"/>
      <x:c r="E17" s="9"/>
      <x:c r="F17" s="9"/>
      <x:c r="G17" s="9"/>
      <x:c r="H17" s="8" t="str">
        <x:v>Synergy and deal assumptions</x:v>
      </x:c>
      <x:c r="I17" s="10"/>
      <x:c r="J17" s="9"/>
      <x:c r="K17" s="9" t="str">
        <x:v>Startup requested EV</x:v>
      </x:c>
      <x:c r="L17" s="50" t="n">
        <x:v>115</x:v>
      </x:c>
      <x:c r="M17" s="50"/>
      <x:c r="N17" s="10" t="str">
        <x:v>$m</x:v>
      </x:c>
      <x:c r="O17" s="2"/>
      <x:c r="P17" s="2"/>
      <x:c r="Q17" s="2"/>
    </x:row>
    <x:row r="18">
      <x:c r="A18" s="2"/>
      <x:c r="B18" s="2"/>
      <x:c r="C18" s="16" t="str">
        <x:v>Metric</x:v>
      </x:c>
      <x:c r="D18" s="17" t="str">
        <x:v>Value</x:v>
      </x:c>
      <x:c r="E18" s="17" t="str">
        <x:v>Unit</x:v>
      </x:c>
      <x:c r="F18" s="18" t="str">
        <x:v>Source / note</x:v>
      </x:c>
      <x:c r="G18" s="2"/>
      <x:c r="H18" s="16" t="str">
        <x:v>Driver</x:v>
      </x:c>
      <x:c r="I18" s="17" t="str">
        <x:v>Value</x:v>
      </x:c>
      <x:c r="J18" s="17" t="str">
        <x:v>Unit</x:v>
      </x:c>
      <x:c r="K18" s="54" t="str">
        <x:v>Evidence</x:v>
      </x:c>
      <x:c r="L18" s="42" t="n">
        <x:v>100</x:v>
      </x:c>
      <x:c r="M18" s="42"/>
      <x:c r="N18" s="21" t="str">
        <x:v>$m</x:v>
      </x:c>
      <x:c r="O18" s="2"/>
      <x:c r="P18" s="2"/>
      <x:c r="Q18" s="2"/>
    </x:row>
    <x:row r="19">
      <x:c r="A19" s="2"/>
      <x:c r="B19" s="2"/>
      <x:c r="C19" s="19" t="str">
        <x:v>Gross retention</x:v>
      </x:c>
      <x:c r="D19" s="43" t="n">
        <x:v>0.92</x:v>
      </x:c>
      <x:c r="E19" s="19" t="str">
        <x:v>%</x:v>
      </x:c>
      <x:c r="F19" s="19" t="str">
        <x:v>approved summary</x:v>
      </x:c>
      <x:c r="G19" s="2"/>
      <x:c r="H19" s="19" t="str">
        <x:v>Third-party analytics replacement</x:v>
      </x:c>
      <x:c r="I19" s="40" t="n">
        <x:v>2.1</x:v>
      </x:c>
      <x:c r="J19" s="19" t="str">
        <x:v>$m</x:v>
      </x:c>
      <x:c r="K19" s="19" t="str">
        <x:v>buyer vendor spend</x:v>
      </x:c>
      <x:c r="L19" s="2"/>
      <x:c r="M19" s="2"/>
      <x:c r="N19" s="2"/>
      <x:c r="O19" s="2"/>
      <x:c r="P19" s="2"/>
      <x:c r="Q19" s="2"/>
    </x:row>
    <x:row r="20">
      <x:c r="A20" s="2"/>
      <x:c r="B20" s="2"/>
      <x:c r="C20" s="20" t="str">
        <x:v>Net revenue retention</x:v>
      </x:c>
      <x:c r="D20" s="39" t="n">
        <x:v>1.16</x:v>
      </x:c>
      <x:c r="E20" s="20" t="str">
        <x:v>%</x:v>
      </x:c>
      <x:c r="F20" s="20" t="str">
        <x:v>approved summary</x:v>
      </x:c>
      <x:c r="G20" s="2"/>
      <x:c r="H20" s="20" t="str">
        <x:v>Fraud-loss reduction</x:v>
      </x:c>
      <x:c r="I20" s="41" t="n">
        <x:v>3.2</x:v>
      </x:c>
      <x:c r="J20" s="20" t="str">
        <x:v>$m</x:v>
      </x:c>
      <x:c r="K20" s="20" t="str">
        <x:v>risk-adjusted pilots</x:v>
      </x:c>
      <x:c r="L20" s="2"/>
      <x:c r="M20" s="2"/>
      <x:c r="N20" s="2"/>
      <x:c r="O20" s="2"/>
      <x:c r="P20" s="2"/>
      <x:c r="Q20" s="2"/>
    </x:row>
    <x:row r="21">
      <x:c r="A21" s="2"/>
      <x:c r="B21" s="2"/>
      <x:c r="C21" s="20" t="str">
        <x:v>CAC payback</x:v>
      </x:c>
      <x:c r="D21" s="35" t="n">
        <x:v>18</x:v>
      </x:c>
      <x:c r="E21" s="20" t="str">
        <x:v>months</x:v>
      </x:c>
      <x:c r="F21" s="20" t="str">
        <x:v>approved summary</x:v>
      </x:c>
      <x:c r="G21" s="2"/>
      <x:c r="H21" s="20" t="str">
        <x:v>Faster underwriting conversion</x:v>
      </x:c>
      <x:c r="I21" s="41" t="n">
        <x:v>2.4</x:v>
      </x:c>
      <x:c r="J21" s="20" t="str">
        <x:v>$m</x:v>
      </x:c>
      <x:c r="K21" s="20" t="str">
        <x:v>throughput pilot</x:v>
      </x:c>
      <x:c r="L21" s="2"/>
      <x:c r="M21" s="2"/>
      <x:c r="N21" s="2"/>
      <x:c r="O21" s="2"/>
      <x:c r="P21" s="2"/>
      <x:c r="Q21" s="2"/>
    </x:row>
    <x:row r="22">
      <x:c r="A22" s="2"/>
      <x:c r="B22" s="2"/>
      <x:c r="C22" s="20" t="str">
        <x:v>Monthly cash burn</x:v>
      </x:c>
      <x:c r="D22" s="44" t="n">
        <x:v>0.62</x:v>
      </x:c>
      <x:c r="E22" s="20" t="str">
        <x:v>$m</x:v>
      </x:c>
      <x:c r="F22" s="20" t="str">
        <x:v>planning assumption</x:v>
      </x:c>
      <x:c r="G22" s="2"/>
      <x:c r="H22" s="20" t="str">
        <x:v>External cross-sell contribution</x:v>
      </x:c>
      <x:c r="I22" s="41" t="n">
        <x:v>2</x:v>
      </x:c>
      <x:c r="J22" s="20" t="str">
        <x:v>$m</x:v>
      </x:c>
      <x:c r="K22" s="20" t="str">
        <x:v>buyer distribution sample</x:v>
      </x:c>
      <x:c r="L22" s="2"/>
      <x:c r="M22" s="2"/>
      <x:c r="N22" s="2"/>
      <x:c r="O22" s="2"/>
      <x:c r="P22" s="2"/>
      <x:c r="Q22" s="2"/>
    </x:row>
    <x:row r="23">
      <x:c r="A23" s="2"/>
      <x:c r="B23" s="2"/>
      <x:c r="C23" s="20" t="str">
        <x:v>Production customers</x:v>
      </x:c>
      <x:c r="D23" s="44" t="n">
        <x:v>9</x:v>
      </x:c>
      <x:c r="E23" s="20" t="str">
        <x:v>count</x:v>
      </x:c>
      <x:c r="F23" s="20" t="str">
        <x:v>tokenized roster</x:v>
      </x:c>
      <x:c r="G23" s="2"/>
      <x:c r="H23" s="20" t="str">
        <x:v>Cloud/tool consolidation</x:v>
      </x:c>
      <x:c r="I23" s="41" t="n">
        <x:v>0.8</x:v>
      </x:c>
      <x:c r="J23" s="20" t="str">
        <x:v>$m</x:v>
      </x:c>
      <x:c r="K23" s="20" t="str">
        <x:v>vendor overlap</x:v>
      </x:c>
      <x:c r="L23" s="2"/>
      <x:c r="M23" s="2"/>
      <x:c r="N23" s="2"/>
      <x:c r="O23" s="2"/>
      <x:c r="P23" s="2"/>
      <x:c r="Q23" s="2"/>
    </x:row>
    <x:row r="24">
      <x:c r="A24" s="2"/>
      <x:c r="B24" s="2"/>
      <x:c r="C24" s="20" t="str">
        <x:v>Paid pilots</x:v>
      </x:c>
      <x:c r="D24" s="44" t="n">
        <x:v>5</x:v>
      </x:c>
      <x:c r="E24" s="20" t="str">
        <x:v>count</x:v>
      </x:c>
      <x:c r="F24" s="20" t="str">
        <x:v>tokenized roster</x:v>
      </x:c>
      <x:c r="G24" s="2"/>
      <x:c r="H24" s="20" t="str">
        <x:v>Synergy discount rate</x:v>
      </x:c>
      <x:c r="I24" s="39" t="n">
        <x:v>0.14</x:v>
      </x:c>
      <x:c r="J24" s="20" t="str">
        <x:v>%</x:v>
      </x:c>
      <x:c r="K24" s="20" t="str">
        <x:v>demo assumption</x:v>
      </x:c>
      <x:c r="L24" s="2"/>
      <x:c r="M24" s="2"/>
      <x:c r="N24" s="2"/>
      <x:c r="O24" s="2"/>
      <x:c r="P24" s="2"/>
      <x:c r="Q24" s="2"/>
    </x:row>
    <x:row r="25">
      <x:c r="A25" s="2"/>
      <x:c r="B25" s="2"/>
      <x:c r="C25" s="20" t="str">
        <x:v>Top three customer ARR</x:v>
      </x:c>
      <x:c r="D25" s="44" t="n">
        <x:v>5.1</x:v>
      </x:c>
      <x:c r="E25" s="20" t="str">
        <x:v>$m</x:v>
      </x:c>
      <x:c r="F25" s="20" t="str">
        <x:v>clean-room aggregate</x:v>
      </x:c>
      <x:c r="G25" s="2"/>
      <x:c r="H25" s="20" t="str">
        <x:v>Year 1 ramp</x:v>
      </x:c>
      <x:c r="I25" s="39" t="n">
        <x:v>0.25</x:v>
      </x:c>
      <x:c r="J25" s="20" t="str">
        <x:v>%</x:v>
      </x:c>
      <x:c r="K25" s="20" t="str">
        <x:v>demo assumption</x:v>
      </x:c>
      <x:c r="L25" s="2"/>
      <x:c r="M25" s="2"/>
      <x:c r="N25" s="2"/>
      <x:c r="O25" s="2"/>
      <x:c r="P25" s="2"/>
      <x:c r="Q25" s="2"/>
    </x:row>
    <x:row r="26">
      <x:c r="A26" s="2"/>
      <x:c r="B26" s="2"/>
      <x:c r="C26" s="20" t="str">
        <x:v>Weighted pipeline</x:v>
      </x:c>
      <x:c r="D26" s="44" t="n">
        <x:v>4.485</x:v>
      </x:c>
      <x:c r="E26" s="20" t="str">
        <x:v>$m</x:v>
      </x:c>
      <x:c r="F26" s="20" t="str">
        <x:v>probability weighted</x:v>
      </x:c>
      <x:c r="G26" s="2"/>
      <x:c r="H26" s="20" t="str">
        <x:v>Year 2 ramp</x:v>
      </x:c>
      <x:c r="I26" s="39" t="n">
        <x:v>0.6</x:v>
      </x:c>
      <x:c r="J26" s="20" t="str">
        <x:v>%</x:v>
      </x:c>
      <x:c r="K26" s="20" t="str">
        <x:v>demo assumption</x:v>
      </x:c>
      <x:c r="L26" s="2"/>
      <x:c r="M26" s="2"/>
      <x:c r="N26" s="2"/>
      <x:c r="O26" s="2"/>
      <x:c r="P26" s="2"/>
      <x:c r="Q26" s="2"/>
    </x:row>
    <x:row r="27">
      <x:c r="A27" s="2"/>
      <x:c r="B27" s="2"/>
      <x:c r="C27" s="20" t="str">
        <x:v>2027E EBITDA</x:v>
      </x:c>
      <x:c r="D27" s="44" t="n">
        <x:v>2.8</x:v>
      </x:c>
      <x:c r="E27" s="20" t="str">
        <x:v>$m</x:v>
      </x:c>
      <x:c r="F27" s="20" t="str">
        <x:v>management forecast</x:v>
      </x:c>
      <x:c r="G27" s="2"/>
      <x:c r="H27" s="20" t="str">
        <x:v>Year 3-5 ramp</x:v>
      </x:c>
      <x:c r="I27" s="39" t="n">
        <x:v>1</x:v>
      </x:c>
      <x:c r="J27" s="20" t="str">
        <x:v>%</x:v>
      </x:c>
      <x:c r="K27" s="20" t="str">
        <x:v>demo assumption</x:v>
      </x:c>
      <x:c r="L27" s="2"/>
      <x:c r="M27" s="2"/>
      <x:c r="N27" s="2"/>
      <x:c r="O27" s="2"/>
      <x:c r="P27" s="2"/>
      <x:c r="Q27" s="2"/>
    </x:row>
    <x:row r="28">
      <x:c r="A28" s="2"/>
      <x:c r="B28" s="2"/>
      <x:c r="C28" s="21" t="str">
        <x:v>2027E ending ARR</x:v>
      </x:c>
      <x:c r="D28" s="45" t="n">
        <x:v>27.2</x:v>
      </x:c>
      <x:c r="E28" s="21" t="str">
        <x:v>$m</x:v>
      </x:c>
      <x:c r="F28" s="21" t="str">
        <x:v>management forecast</x:v>
      </x:c>
      <x:c r="G28" s="2"/>
      <x:c r="H28" s="20" t="str">
        <x:v>Integration cost year 1</x:v>
      </x:c>
      <x:c r="I28" s="41" t="n">
        <x:v>5</x:v>
      </x:c>
      <x:c r="J28" s="20" t="str">
        <x:v>$m</x:v>
      </x:c>
      <x:c r="K28" s="20" t="str">
        <x:v>demo assumption</x:v>
      </x:c>
      <x:c r="L28" s="2"/>
      <x:c r="M28" s="2"/>
      <x:c r="N28" s="2"/>
      <x:c r="O28" s="2"/>
      <x:c r="P28" s="2"/>
      <x:c r="Q28" s="2"/>
    </x:row>
    <x:row r="29">
      <x:c r="A29" s="2"/>
      <x:c r="B29" s="2"/>
      <x:c r="C29" s="2"/>
      <x:c r="D29" s="2"/>
      <x:c r="E29" s="2"/>
      <x:c r="F29" s="2"/>
      <x:c r="G29" s="2"/>
      <x:c r="H29" s="20" t="str">
        <x:v>Integration cost year 2</x:v>
      </x:c>
      <x:c r="I29" s="41" t="n">
        <x:v>4</x:v>
      </x:c>
      <x:c r="J29" s="20" t="str">
        <x:v>$m</x:v>
      </x:c>
      <x:c r="K29" s="20" t="str">
        <x:v>demo assumption</x:v>
      </x:c>
      <x:c r="L29" s="2"/>
      <x:c r="M29" s="2"/>
      <x:c r="N29" s="2"/>
      <x:c r="O29" s="2"/>
      <x:c r="P29" s="2"/>
      <x:c r="Q29" s="2"/>
    </x:row>
    <x:row r="30">
      <x:c r="A30" s="2"/>
      <x:c r="B30" s="2"/>
      <x:c r="C30" s="2"/>
      <x:c r="D30" s="2"/>
      <x:c r="E30" s="2"/>
      <x:c r="F30" s="2"/>
      <x:c r="G30" s="2"/>
      <x:c r="H30" s="20" t="str">
        <x:v>Integration cost year 3</x:v>
      </x:c>
      <x:c r="I30" s="41" t="n">
        <x:v>3</x:v>
      </x:c>
      <x:c r="J30" s="20" t="str">
        <x:v>$m</x:v>
      </x:c>
      <x:c r="K30" s="20" t="str">
        <x:v>demo assumption</x:v>
      </x:c>
      <x:c r="L30" s="2"/>
      <x:c r="M30" s="2"/>
      <x:c r="N30" s="2"/>
      <x:c r="O30" s="2"/>
      <x:c r="P30" s="2"/>
      <x:c r="Q30" s="2"/>
    </x:row>
    <x:row r="31">
      <x:c r="A31" s="2"/>
      <x:c r="B31" s="2"/>
      <x:c r="C31" s="8" t="str">
        <x:v>HarborStone funding and covenant assumptions</x:v>
      </x:c>
      <x:c r="D31" s="9"/>
      <x:c r="E31" s="9"/>
      <x:c r="F31" s="9"/>
      <x:c r="G31" s="9"/>
      <x:c r="H31" s="9" t="str">
        <x:v>Employee retention pool</x:v>
      </x:c>
      <x:c r="I31" s="59" t="n">
        <x:v>5</x:v>
      </x:c>
      <x:c r="J31" s="21" t="str">
        <x:v>$m</x:v>
      </x:c>
      <x:c r="K31" s="21" t="str">
        <x:v>outside purchase price</x:v>
      </x:c>
      <x:c r="L31" s="2"/>
      <x:c r="M31" s="2"/>
      <x:c r="N31" s="2"/>
      <x:c r="O31" s="2"/>
      <x:c r="P31" s="2"/>
      <x:c r="Q31" s="2"/>
    </x:row>
    <x:row r="32">
      <x:c r="A32" s="2"/>
      <x:c r="B32" s="2"/>
      <x:c r="C32" s="16" t="str">
        <x:v>Metric</x:v>
      </x:c>
      <x:c r="D32" s="17" t="str">
        <x:v>Value</x:v>
      </x:c>
      <x:c r="E32" s="17" t="str">
        <x:v>Unit</x:v>
      </x:c>
      <x:c r="F32" s="17" t="str">
        <x:v>Condition</x:v>
      </x:c>
      <x:c r="G32" s="18" t="str">
        <x:v>Classification</x:v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19" t="str">
        <x:v>Cash and equivalents</x:v>
      </x:c>
      <x:c r="D33" s="40" t="n">
        <x:v>180</x:v>
      </x:c>
      <x:c r="E33" s="19" t="str">
        <x:v>$m</x:v>
      </x:c>
      <x:c r="F33" s="19" t="str">
        <x:v>board-approved use</x:v>
      </x:c>
      <x:c r="G33" s="19" t="str">
        <x:v>A_PRIVATE source</x:v>
      </x:c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0" t="str">
        <x:v>Undrawn revolver</x:v>
      </x:c>
      <x:c r="D34" s="41" t="n">
        <x:v>120</x:v>
      </x:c>
      <x:c r="E34" s="20" t="str">
        <x:v>$m</x:v>
      </x:c>
      <x:c r="F34" s="20" t="str">
        <x:v>customary conditions</x:v>
      </x:c>
      <x:c r="G34" s="20" t="str">
        <x:v>A_PRIVATE source</x:v>
      </x:c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0" t="str">
        <x:v>Committed acquisition facility</x:v>
      </x:c>
      <x:c r="D35" s="41" t="n">
        <x:v>75</x:v>
      </x:c>
      <x:c r="E35" s="20" t="str">
        <x:v>$m</x:v>
      </x:c>
      <x:c r="F35" s="20" t="str">
        <x:v>expires 2027-03-31</x:v>
      </x:c>
      <x:c r="G35" s="20" t="str">
        <x:v>A_PRIVATE source</x:v>
      </x:c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A36" s="2"/>
      <x:c r="B36" s="2"/>
      <x:c r="C36" s="20" t="str">
        <x:v>Minimum operating cash</x:v>
      </x:c>
      <x:c r="D36" s="41" t="n">
        <x:v>70</x:v>
      </x:c>
      <x:c r="E36" s="20" t="str">
        <x:v>$m</x:v>
      </x:c>
      <x:c r="F36" s="20" t="str">
        <x:v>internal policy</x:v>
      </x:c>
      <x:c r="G36" s="20" t="str">
        <x:v>A_PRIVATE source</x:v>
      </x:c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A37" s="2"/>
      <x:c r="B37" s="2"/>
      <x:c r="C37" s="20" t="str">
        <x:v>Cash to sellers at close</x:v>
      </x:c>
      <x:c r="D37" s="41" t="n">
        <x:v>82</x:v>
      </x:c>
      <x:c r="E37" s="20" t="str">
        <x:v>$m</x:v>
      </x:c>
      <x:c r="F37" s="20" t="str">
        <x:v>neutral structure</x:v>
      </x:c>
      <x:c r="G37" s="20" t="str">
        <x:v>JOINT_APPROVED</x:v>
      </x:c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A38" s="2"/>
      <x:c r="B38" s="2"/>
      <x:c r="C38" s="20" t="str">
        <x:v>IP/compliance escrow</x:v>
      </x:c>
      <x:c r="D38" s="41" t="n">
        <x:v>5</x:v>
      </x:c>
      <x:c r="E38" s="20" t="str">
        <x:v>$m</x:v>
      </x:c>
      <x:c r="F38" s="20" t="str">
        <x:v>neutral structure</x:v>
      </x:c>
      <x:c r="G38" s="20" t="str">
        <x:v>JOINT_APPROVED</x:v>
      </x:c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A39" s="2"/>
      <x:c r="B39" s="2"/>
      <x:c r="C39" s="20" t="str">
        <x:v>Pro forma net leverage</x:v>
      </x:c>
      <x:c r="D39" s="60" t="n">
        <x:v>2.78</x:v>
      </x:c>
      <x:c r="E39" s="20" t="str">
        <x:v>x</x:v>
      </x:c>
      <x:c r="F39" s="20" t="str">
        <x:v>after transaction</x:v>
      </x:c>
      <x:c r="G39" s="20" t="str">
        <x:v>JOINT_APPROVED</x:v>
      </x:c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A40" s="2"/>
      <x:c r="B40" s="2"/>
      <x:c r="C40" s="21" t="str">
        <x:v>Net leverage covenant</x:v>
      </x:c>
      <x:c r="D40" s="61" t="n">
        <x:v>4</x:v>
      </x:c>
      <x:c r="E40" s="21" t="str">
        <x:v>x max</x:v>
      </x:c>
      <x:c r="F40" s="21" t="str">
        <x:v>credit agreement</x:v>
      </x:c>
      <x:c r="G40" s="21" t="str">
        <x:v>JOINT_APPROVED</x:v>
      </x:c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A42" s="2"/>
      <x:c r="B42" s="2"/>
      <x:c r="C42" s="62" t="str">
        <x:v>Input legend</x:v>
      </x:c>
      <x:c r="D42" s="62" t="str">
        <x:v>Blue font + pale fill = editable input</x:v>
      </x:c>
      <x:c r="E42" s="62" t="str">
        <x:v>Black = same-sheet formula</x:v>
      </x:c>
      <x:c r="F42" s="62" t="str">
        <x:v>Green = cross-sheet link</x:v>
      </x:c>
      <x:c r="G42" s="62" t="str">
        <x:v>Red = external link</x:v>
      </x:c>
      <x:c r="H42" s="62" t="str">
        <x:v>All data synthetic</x:v>
      </x:c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A43" s="2"/>
      <x:c r="B43" s="2"/>
      <x:c r="C43" s="63" t="str">
        <x:v>Scope</x:v>
      </x:c>
      <x:c r="D43" s="63" t="str">
        <x:v>Actuals 2023-2025</x:v>
      </x:c>
      <x:c r="E43" s="63" t="str">
        <x:v>Forecast 2026-2030</x:v>
      </x:c>
      <x:c r="F43" s="63" t="str">
        <x:v>Enterprise value basis</x:v>
      </x:c>
      <x:c r="G43" s="63" t="str">
        <x:v>Cash-free / debt-free</x:v>
      </x:c>
      <x:c r="H43" s="63" t="str">
        <x:v>Not advice</x:v>
      </x:c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</x:sheetData>
  <x:pageMargins left="0.7" right="0.7" top="0.75" bottom="0.75" header="0.3" footer="0.3"/>
</x:worksheet>
</file>